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2"/>
  <workbookPr/>
  <mc:AlternateContent xmlns:mc="http://schemas.openxmlformats.org/markup-compatibility/2006">
    <mc:Choice Requires="x15">
      <x15ac:absPath xmlns:x15ac="http://schemas.microsoft.com/office/spreadsheetml/2010/11/ac" url="D:\RMU 2023\技术评审\赛季规划\发布\"/>
    </mc:Choice>
  </mc:AlternateContent>
  <xr:revisionPtr revIDLastSave="0" documentId="13_ncr:1_{B828979E-384F-4841-B0B3-96230DAE323B}" xr6:coauthVersionLast="36" xr6:coauthVersionMax="36" xr10:uidLastSave="{00000000-0000-0000-0000-000000000000}"/>
  <bookViews>
    <workbookView xWindow="0" yWindow="0" windowWidth="19200" windowHeight="6740" xr2:uid="{00000000-000D-0000-FFFF-FFFF00000000}"/>
  </bookViews>
  <sheets>
    <sheet name="当赛季总预算" sheetId="1" r:id="rId1"/>
  </sheets>
  <calcPr calcId="191029"/>
</workbook>
</file>

<file path=xl/calcChain.xml><?xml version="1.0" encoding="utf-8"?>
<calcChain xmlns="http://schemas.openxmlformats.org/spreadsheetml/2006/main">
  <c r="I11" i="1" l="1"/>
  <c r="I10" i="1"/>
  <c r="I9" i="1"/>
  <c r="F8" i="1"/>
  <c r="I8" i="1" s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<sst xmlns="http://schemas.openxmlformats.org/spreadsheetml/2006/main" count="76" uniqueCount="53">
  <si>
    <t>项目名称</t>
  </si>
  <si>
    <t>负责人</t>
  </si>
  <si>
    <t>一级分类</t>
  </si>
  <si>
    <t>二级分类</t>
  </si>
  <si>
    <t>内容</t>
  </si>
  <si>
    <t>所需数量</t>
  </si>
  <si>
    <t>单位</t>
  </si>
  <si>
    <t>单价</t>
  </si>
  <si>
    <t>总金额</t>
  </si>
  <si>
    <t>预算说明</t>
  </si>
  <si>
    <t>备注</t>
  </si>
  <si>
    <t>麦轮步兵机器人</t>
  </si>
  <si>
    <t>A</t>
  </si>
  <si>
    <t>底盘</t>
  </si>
  <si>
    <t>官方元件</t>
  </si>
  <si>
    <t>麦克纳姆轮</t>
  </si>
  <si>
    <t>个</t>
  </si>
  <si>
    <t>一代</t>
  </si>
  <si>
    <t>舵轮步兵机器人</t>
  </si>
  <si>
    <t>云台</t>
  </si>
  <si>
    <t>标准件</t>
  </si>
  <si>
    <t>摩擦轮</t>
  </si>
  <si>
    <t>平衡步兵机器人</t>
  </si>
  <si>
    <t>轮腿电机</t>
  </si>
  <si>
    <t>二代</t>
  </si>
  <si>
    <t>英雄机器人</t>
  </si>
  <si>
    <t>B</t>
  </si>
  <si>
    <t>机加工</t>
  </si>
  <si>
    <t>加工费</t>
  </si>
  <si>
    <t>次</t>
  </si>
  <si>
    <t>零件替换数量，往年成本对标</t>
  </si>
  <si>
    <t>方案验证</t>
  </si>
  <si>
    <t>团队运营</t>
  </si>
  <si>
    <t>C</t>
  </si>
  <si>
    <t>团建</t>
  </si>
  <si>
    <t>羽毛球场</t>
  </si>
  <si>
    <t>人次</t>
  </si>
  <si>
    <t>D</t>
  </si>
  <si>
    <t>差旅</t>
  </si>
  <si>
    <t>住宿</t>
  </si>
  <si>
    <t>分区赛住宿</t>
  </si>
  <si>
    <t>人次天</t>
  </si>
  <si>
    <t>交通</t>
  </si>
  <si>
    <t>高铁</t>
  </si>
  <si>
    <t>团队资产</t>
  </si>
  <si>
    <t>E</t>
  </si>
  <si>
    <t>通用</t>
  </si>
  <si>
    <t>工具</t>
  </si>
  <si>
    <t>小推车</t>
  </si>
  <si>
    <t>台</t>
  </si>
  <si>
    <t>F</t>
  </si>
  <si>
    <t>机械类</t>
  </si>
  <si>
    <t>3D打印机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</si>
</sst>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charset val="134"/>
      <scheme val="minor"/>
    </font>
    <font>
      <b/>
      <sz val="11"/>
      <name val="宋体"/>
      <family val="3"/>
      <charset val="134"/>
    </font>
    <font>
      <i/>
      <sz val="11"/>
      <color rgb="FF7F7F7F"/>
      <name val="宋体"/>
      <family val="3"/>
      <charset val="134"/>
    </font>
    <font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3" fillId="0" borderId="0" xfId="0" applyNumberFormat="1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3"/>
  <sheetViews>
    <sheetView tabSelected="1" workbookViewId="0">
      <selection activeCell="F15" sqref="F15"/>
    </sheetView>
  </sheetViews>
  <sheetFormatPr defaultColWidth="9" defaultRowHeight="14" x14ac:dyDescent="0.3"/>
  <cols>
    <col min="1" max="1" width="17.25" customWidth="1"/>
    <col min="2" max="2" width="9" customWidth="1"/>
    <col min="3" max="3" width="12" customWidth="1"/>
    <col min="4" max="4" width="11" customWidth="1"/>
    <col min="5" max="5" width="13" customWidth="1"/>
    <col min="6" max="9" width="9" customWidth="1"/>
    <col min="10" max="10" width="34" customWidth="1"/>
    <col min="11" max="11" width="9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4</v>
      </c>
      <c r="G2" s="2" t="s">
        <v>16</v>
      </c>
      <c r="H2" s="2">
        <v>499</v>
      </c>
      <c r="I2" s="2">
        <f t="shared" ref="I2:I11" si="0">F2*H2</f>
        <v>1996</v>
      </c>
      <c r="J2" s="2"/>
      <c r="K2" s="2" t="s">
        <v>17</v>
      </c>
    </row>
    <row r="3" spans="1:11" x14ac:dyDescent="0.25">
      <c r="A3" s="2" t="s">
        <v>18</v>
      </c>
      <c r="B3" s="2" t="s">
        <v>12</v>
      </c>
      <c r="C3" s="2" t="s">
        <v>19</v>
      </c>
      <c r="D3" s="2" t="s">
        <v>20</v>
      </c>
      <c r="E3" s="2" t="s">
        <v>21</v>
      </c>
      <c r="F3" s="2">
        <v>4</v>
      </c>
      <c r="G3" s="2" t="s">
        <v>16</v>
      </c>
      <c r="H3" s="2">
        <v>60</v>
      </c>
      <c r="I3" s="2">
        <f t="shared" si="0"/>
        <v>240</v>
      </c>
      <c r="J3" s="2"/>
      <c r="K3" s="2" t="s">
        <v>17</v>
      </c>
    </row>
    <row r="4" spans="1:11" x14ac:dyDescent="0.25">
      <c r="A4" s="2" t="s">
        <v>22</v>
      </c>
      <c r="B4" s="2" t="s">
        <v>12</v>
      </c>
      <c r="C4" s="2" t="s">
        <v>19</v>
      </c>
      <c r="D4" s="2" t="s">
        <v>20</v>
      </c>
      <c r="E4" s="2" t="s">
        <v>23</v>
      </c>
      <c r="F4" s="2">
        <v>2</v>
      </c>
      <c r="G4" s="2" t="s">
        <v>16</v>
      </c>
      <c r="H4" s="2">
        <v>60</v>
      </c>
      <c r="I4" s="2">
        <f t="shared" si="0"/>
        <v>120</v>
      </c>
      <c r="J4" s="2"/>
      <c r="K4" s="2" t="s">
        <v>17</v>
      </c>
    </row>
    <row r="5" spans="1:11" x14ac:dyDescent="0.25">
      <c r="A5" s="2" t="s">
        <v>22</v>
      </c>
      <c r="B5" s="2" t="s">
        <v>12</v>
      </c>
      <c r="C5" s="2" t="s">
        <v>19</v>
      </c>
      <c r="D5" s="2" t="s">
        <v>20</v>
      </c>
      <c r="E5" s="2" t="s">
        <v>23</v>
      </c>
      <c r="F5" s="2">
        <v>2</v>
      </c>
      <c r="G5" s="2" t="s">
        <v>16</v>
      </c>
      <c r="H5" s="2">
        <v>60</v>
      </c>
      <c r="I5" s="2">
        <f t="shared" si="0"/>
        <v>120</v>
      </c>
      <c r="J5" s="2"/>
      <c r="K5" s="2" t="s">
        <v>24</v>
      </c>
    </row>
    <row r="6" spans="1:11" x14ac:dyDescent="0.25">
      <c r="A6" s="2" t="s">
        <v>25</v>
      </c>
      <c r="B6" s="2" t="s">
        <v>26</v>
      </c>
      <c r="C6" s="2" t="s">
        <v>19</v>
      </c>
      <c r="D6" s="2" t="s">
        <v>27</v>
      </c>
      <c r="E6" s="2" t="s">
        <v>28</v>
      </c>
      <c r="F6" s="2">
        <v>1</v>
      </c>
      <c r="G6" s="2" t="s">
        <v>29</v>
      </c>
      <c r="H6" s="2">
        <v>1000</v>
      </c>
      <c r="I6" s="2">
        <f t="shared" si="0"/>
        <v>1000</v>
      </c>
      <c r="J6" s="2" t="s">
        <v>30</v>
      </c>
      <c r="K6" s="2" t="s">
        <v>31</v>
      </c>
    </row>
    <row r="7" spans="1:11" x14ac:dyDescent="0.25">
      <c r="A7" s="2" t="s">
        <v>32</v>
      </c>
      <c r="B7" s="2" t="s">
        <v>33</v>
      </c>
      <c r="C7" s="2" t="s">
        <v>34</v>
      </c>
      <c r="D7" s="2"/>
      <c r="E7" s="2" t="s">
        <v>35</v>
      </c>
      <c r="F7" s="2">
        <v>10</v>
      </c>
      <c r="G7" s="2" t="s">
        <v>36</v>
      </c>
      <c r="H7" s="2">
        <v>10</v>
      </c>
      <c r="I7" s="2">
        <f t="shared" si="0"/>
        <v>100</v>
      </c>
      <c r="J7" s="2"/>
      <c r="K7" s="2"/>
    </row>
    <row r="8" spans="1:11" x14ac:dyDescent="0.25">
      <c r="A8" s="2" t="s">
        <v>32</v>
      </c>
      <c r="B8" s="2" t="s">
        <v>37</v>
      </c>
      <c r="C8" s="2" t="s">
        <v>38</v>
      </c>
      <c r="D8" s="2" t="s">
        <v>39</v>
      </c>
      <c r="E8" s="2" t="s">
        <v>40</v>
      </c>
      <c r="F8" s="2">
        <f>20*7</f>
        <v>140</v>
      </c>
      <c r="G8" s="2" t="s">
        <v>41</v>
      </c>
      <c r="H8" s="2">
        <v>100</v>
      </c>
      <c r="I8" s="2">
        <f t="shared" si="0"/>
        <v>14000</v>
      </c>
      <c r="J8" s="2"/>
      <c r="K8" s="2"/>
    </row>
    <row r="9" spans="1:11" x14ac:dyDescent="0.25">
      <c r="A9" s="2" t="s">
        <v>32</v>
      </c>
      <c r="B9" s="2" t="s">
        <v>37</v>
      </c>
      <c r="C9" s="2" t="s">
        <v>38</v>
      </c>
      <c r="D9" s="2" t="s">
        <v>42</v>
      </c>
      <c r="E9" s="2" t="s">
        <v>43</v>
      </c>
      <c r="F9" s="2">
        <v>20</v>
      </c>
      <c r="G9" s="2" t="s">
        <v>36</v>
      </c>
      <c r="H9" s="2">
        <v>400</v>
      </c>
      <c r="I9" s="2">
        <f t="shared" si="0"/>
        <v>8000</v>
      </c>
      <c r="J9" s="2"/>
      <c r="K9" s="2"/>
    </row>
    <row r="10" spans="1:11" x14ac:dyDescent="0.2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2">
        <v>3</v>
      </c>
      <c r="G10" s="2" t="s">
        <v>49</v>
      </c>
      <c r="H10" s="2">
        <v>100</v>
      </c>
      <c r="I10" s="2">
        <f t="shared" si="0"/>
        <v>300</v>
      </c>
      <c r="J10" s="2"/>
      <c r="K10" s="2"/>
    </row>
    <row r="11" spans="1:11" x14ac:dyDescent="0.25">
      <c r="A11" s="2" t="s">
        <v>44</v>
      </c>
      <c r="B11" s="2" t="s">
        <v>50</v>
      </c>
      <c r="C11" s="2" t="s">
        <v>51</v>
      </c>
      <c r="D11" s="2" t="s">
        <v>47</v>
      </c>
      <c r="E11" s="2" t="s">
        <v>52</v>
      </c>
      <c r="F11" s="2">
        <v>1</v>
      </c>
      <c r="G11" s="2" t="s">
        <v>49</v>
      </c>
      <c r="H11" s="2">
        <v>1000</v>
      </c>
      <c r="I11" s="2">
        <f t="shared" si="0"/>
        <v>1000</v>
      </c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2"/>
      <c r="J15" s="3"/>
      <c r="K15" s="3"/>
    </row>
    <row r="16" spans="1:11" x14ac:dyDescent="0.25">
      <c r="A16" s="3"/>
      <c r="B16" s="3"/>
      <c r="C16" s="3"/>
      <c r="D16" s="3"/>
      <c r="E16" s="3"/>
      <c r="F16" s="3"/>
      <c r="G16" s="3"/>
      <c r="H16" s="3"/>
      <c r="I16" s="2"/>
      <c r="J16" s="3"/>
      <c r="K16" s="3"/>
    </row>
    <row r="17" spans="1:11" x14ac:dyDescent="0.25">
      <c r="A17" s="3"/>
      <c r="B17" s="3"/>
      <c r="C17" s="3"/>
      <c r="D17" s="3"/>
      <c r="E17" s="3"/>
      <c r="F17" s="3"/>
      <c r="G17" s="3"/>
      <c r="H17" s="3"/>
      <c r="I17" s="2"/>
      <c r="J17" s="3"/>
      <c r="K17" s="3"/>
    </row>
    <row r="18" spans="1:11" x14ac:dyDescent="0.25">
      <c r="A18" s="3"/>
      <c r="B18" s="3"/>
      <c r="C18" s="3"/>
      <c r="D18" s="3"/>
      <c r="E18" s="3"/>
      <c r="F18" s="3"/>
      <c r="G18" s="3"/>
      <c r="H18" s="3"/>
      <c r="I18" s="2"/>
      <c r="J18" s="3"/>
      <c r="K18" s="3"/>
    </row>
    <row r="19" spans="1:11" x14ac:dyDescent="0.25">
      <c r="A19" s="3"/>
      <c r="B19" s="3"/>
      <c r="C19" s="3"/>
      <c r="D19" s="3"/>
      <c r="E19" s="3"/>
      <c r="F19" s="3"/>
      <c r="G19" s="3"/>
      <c r="H19" s="3"/>
      <c r="I19" s="2"/>
      <c r="J19" s="3"/>
      <c r="K19" s="3"/>
    </row>
    <row r="20" spans="1:11" x14ac:dyDescent="0.25">
      <c r="A20" s="3"/>
      <c r="B20" s="3"/>
      <c r="C20" s="3"/>
      <c r="D20" s="3"/>
      <c r="E20" s="3"/>
      <c r="F20" s="3"/>
      <c r="G20" s="3"/>
      <c r="H20" s="3"/>
      <c r="I20" s="2"/>
      <c r="J20" s="3"/>
      <c r="K20" s="3"/>
    </row>
    <row r="21" spans="1:11" x14ac:dyDescent="0.25">
      <c r="A21" s="3"/>
      <c r="B21" s="3"/>
      <c r="C21" s="3"/>
      <c r="D21" s="3"/>
      <c r="E21" s="3"/>
      <c r="F21" s="3"/>
      <c r="G21" s="3"/>
      <c r="H21" s="3"/>
      <c r="I21" s="2"/>
      <c r="J21" s="3"/>
      <c r="K21" s="3"/>
    </row>
    <row r="22" spans="1:11" x14ac:dyDescent="0.25">
      <c r="A22" s="3"/>
      <c r="B22" s="3"/>
      <c r="C22" s="3"/>
      <c r="D22" s="3"/>
      <c r="E22" s="3"/>
      <c r="F22" s="3"/>
      <c r="G22" s="3"/>
      <c r="H22" s="3"/>
      <c r="I22" s="2"/>
      <c r="J22" s="3"/>
      <c r="K22" s="3"/>
    </row>
    <row r="23" spans="1:11" x14ac:dyDescent="0.25">
      <c r="A23" s="3"/>
      <c r="B23" s="3"/>
      <c r="C23" s="3"/>
      <c r="D23" s="3"/>
      <c r="E23" s="3"/>
      <c r="F23" s="3"/>
      <c r="G23" s="3"/>
      <c r="H23" s="3"/>
      <c r="I23" s="2"/>
      <c r="J23" s="3"/>
      <c r="K23" s="3"/>
    </row>
    <row r="24" spans="1:11" x14ac:dyDescent="0.25">
      <c r="A24" s="3"/>
      <c r="B24" s="3"/>
      <c r="C24" s="3"/>
      <c r="D24" s="3"/>
      <c r="E24" s="3"/>
      <c r="F24" s="3"/>
      <c r="G24" s="3"/>
      <c r="H24" s="3"/>
      <c r="I24" s="2"/>
      <c r="J24" s="3"/>
      <c r="K24" s="3"/>
    </row>
    <row r="25" spans="1:1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</sheetData>
  <sheetProtection formatCells="0" insertHyperlinks="0" autoFilter="0"/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</pixelators>
</file>

<file path=customXml/item2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3.xml><?xml version="1.0" encoding="utf-8"?>
<woProps xmlns="https://web.wps.cn/et/2018/main" xmlns:s="http://schemas.openxmlformats.org/spreadsheetml/2006/main">
  <woSheetsProps>
    <woSheetProps sheetStid="1" interlineOnOff="0" interlineColor="0" isDbSheet="0"/>
    <woSheetProps sheetStid="2" interlineOnOff="0" interlineColor="0" isDbSheet="0"/>
  </woSheetsProps>
  <woBookProps>
    <bookSettings isFilterShared="1" isAutoUpdatePaused="0" filterType="conn"/>
  </woBookProps>
</woProps>
</file>

<file path=customXml/item4.xml><?xml version="1.0" encoding="utf-8"?>
<comments xmlns="https://web.wps.cn/et/2018/main" xmlns:s="http://schemas.openxmlformats.org/spreadsheetml/2006/main"/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当赛季总预算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Ming Mu</cp:lastModifiedBy>
  <dcterms:created xsi:type="dcterms:W3CDTF">2022-11-17T19:31:00Z</dcterms:created>
  <dcterms:modified xsi:type="dcterms:W3CDTF">2022-12-01T13:07:35Z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