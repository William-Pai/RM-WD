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 defaultThemeVersion="124226"/>
  <xr:revisionPtr revIDLastSave="0" documentId="8_{9DC59DB8-A708-4A66-825B-0E757D1A1A4D}" xr6:coauthVersionLast="47" xr6:coauthVersionMax="47" xr10:uidLastSave="{00000000-0000-0000-0000-000000000000}"/>
  <bookViews>
    <workbookView xWindow="-108" yWindow="-108" windowWidth="23256" windowHeight="13176" tabRatio="748" activeTab="2" xr2:uid="{00000000-000D-0000-FFFF-FFFF00000000}"/>
  </bookViews>
  <sheets>
    <sheet name="注意事项" sheetId="12" r:id="rId1"/>
    <sheet name="工艺类别总览" sheetId="5" r:id="rId2"/>
    <sheet name="步兵机器人" sheetId="1" r:id="rId3"/>
    <sheet name="下拉菜单选项" sheetId="6" r:id="rId4"/>
  </sheets>
  <calcPr calcId="191029"/>
</workbook>
</file>

<file path=xl/calcChain.xml><?xml version="1.0" encoding="utf-8"?>
<calcChain xmlns="http://schemas.openxmlformats.org/spreadsheetml/2006/main">
  <c r="O106" i="1" l="1"/>
  <c r="O67" i="1"/>
  <c r="O64" i="1"/>
  <c r="O116" i="1"/>
  <c r="O115" i="1"/>
  <c r="O7" i="1"/>
  <c r="O98" i="1"/>
  <c r="O99" i="1"/>
  <c r="O100" i="1"/>
  <c r="O101" i="1"/>
  <c r="O102" i="1"/>
  <c r="O103" i="1"/>
  <c r="O104" i="1"/>
  <c r="O105" i="1"/>
  <c r="O97" i="1"/>
  <c r="O52" i="1"/>
  <c r="O53" i="1"/>
  <c r="O112" i="1"/>
  <c r="O15" i="1"/>
  <c r="O16" i="1"/>
  <c r="O17" i="1"/>
  <c r="O124" i="1"/>
  <c r="O40" i="1"/>
  <c r="O129" i="1"/>
  <c r="O13" i="1"/>
  <c r="O149" i="1"/>
  <c r="O14" i="1"/>
  <c r="O51" i="1"/>
  <c r="O10" i="1"/>
  <c r="O9" i="1"/>
  <c r="O135" i="1"/>
  <c r="O68" i="1"/>
  <c r="O144" i="1"/>
  <c r="O145" i="1"/>
  <c r="O136" i="1"/>
  <c r="O20" i="1"/>
  <c r="O61" i="1"/>
  <c r="O55" i="1"/>
  <c r="O123" i="1"/>
  <c r="O2" i="1"/>
  <c r="O108" i="1"/>
  <c r="O41" i="1"/>
  <c r="O128" i="1"/>
  <c r="O122" i="1"/>
  <c r="O131" i="1"/>
  <c r="O57" i="1"/>
  <c r="O39" i="1"/>
  <c r="O109" i="1"/>
  <c r="O42" i="1"/>
  <c r="O111" i="1"/>
  <c r="O110" i="1"/>
  <c r="O117" i="1"/>
  <c r="O44" i="1"/>
  <c r="O56" i="1"/>
  <c r="O49" i="1"/>
  <c r="O50" i="1"/>
  <c r="O48" i="1"/>
  <c r="N132" i="1"/>
  <c r="O132" i="1" s="1"/>
  <c r="B3" i="5" l="1"/>
  <c r="C3" i="5" s="1"/>
  <c r="B5" i="5"/>
  <c r="C5" i="5" s="1"/>
  <c r="B6" i="5"/>
  <c r="C6" i="5" s="1"/>
  <c r="B7" i="5"/>
  <c r="C7" i="5" s="1"/>
  <c r="N32" i="1"/>
  <c r="O32" i="1" s="1"/>
  <c r="N6" i="1"/>
  <c r="O6" i="1" s="1"/>
  <c r="N130" i="1"/>
  <c r="O130" i="1" s="1"/>
  <c r="B11" i="5"/>
  <c r="C11" i="5" s="1"/>
  <c r="N120" i="1"/>
  <c r="O120" i="1" s="1"/>
  <c r="B4" i="5" s="1"/>
  <c r="C4" i="5" s="1"/>
  <c r="N19" i="1"/>
  <c r="O19" i="1" s="1"/>
  <c r="B9" i="5" s="1"/>
  <c r="C9" i="5" s="1"/>
  <c r="N5" i="1"/>
  <c r="O5" i="1" s="1"/>
  <c r="N3" i="1"/>
  <c r="O3" i="1" s="1"/>
  <c r="B10" i="5" s="1"/>
  <c r="C10" i="5" s="1"/>
  <c r="N45" i="1"/>
  <c r="O45" i="1" s="1"/>
  <c r="N8" i="1"/>
  <c r="O8" i="1" s="1"/>
  <c r="N139" i="1"/>
  <c r="O139" i="1" s="1"/>
  <c r="N63" i="1"/>
  <c r="O63" i="1" s="1"/>
  <c r="O153" i="1" l="1"/>
  <c r="B8" i="5"/>
  <c r="C8" i="5" s="1"/>
  <c r="B15" i="5"/>
  <c r="B2" i="5"/>
  <c r="B14" i="5" l="1"/>
  <c r="B16" i="5" s="1"/>
  <c r="C2" i="5"/>
  <c r="C14" i="5" s="1"/>
  <c r="C15" i="5"/>
  <c r="C16" i="5" l="1"/>
</calcChain>
</file>

<file path=xl/sharedStrings.xml><?xml version="1.0" encoding="utf-8"?>
<sst xmlns="http://schemas.openxmlformats.org/spreadsheetml/2006/main" count="1314" uniqueCount="405">
  <si>
    <t>3D打印</t>
    <phoneticPr fontId="2" type="noConversion"/>
  </si>
  <si>
    <t>钣金</t>
    <phoneticPr fontId="2" type="noConversion"/>
  </si>
  <si>
    <t>线材</t>
    <phoneticPr fontId="2" type="noConversion"/>
  </si>
  <si>
    <t xml:space="preserve">     </t>
    <phoneticPr fontId="2" type="noConversion"/>
  </si>
  <si>
    <t>步兵机器人</t>
    <phoneticPr fontId="2" type="noConversion"/>
  </si>
  <si>
    <t>总价</t>
    <phoneticPr fontId="2" type="noConversion"/>
  </si>
  <si>
    <t>底盘</t>
  </si>
  <si>
    <t>线材</t>
  </si>
  <si>
    <t>钣金</t>
  </si>
  <si>
    <t>硬件</t>
  </si>
  <si>
    <t>机械</t>
  </si>
  <si>
    <t>硬件</t>
    <phoneticPr fontId="2" type="noConversion"/>
  </si>
  <si>
    <t>机械</t>
    <phoneticPr fontId="2" type="noConversion"/>
  </si>
  <si>
    <t>属性</t>
    <phoneticPr fontId="2" type="noConversion"/>
  </si>
  <si>
    <t>工艺类别</t>
    <phoneticPr fontId="2" type="noConversion"/>
  </si>
  <si>
    <t>采购方式</t>
    <phoneticPr fontId="2" type="noConversion"/>
  </si>
  <si>
    <t>其他</t>
  </si>
  <si>
    <t>其他</t>
    <phoneticPr fontId="2" type="noConversion"/>
  </si>
  <si>
    <t>车&amp;铣</t>
  </si>
  <si>
    <t>车&amp;铣</t>
    <phoneticPr fontId="2" type="noConversion"/>
  </si>
  <si>
    <t>赞助</t>
  </si>
  <si>
    <t>赞助</t>
    <phoneticPr fontId="2" type="noConversion"/>
  </si>
  <si>
    <t>非官方成品模块</t>
  </si>
  <si>
    <t>非官方成品模块</t>
    <phoneticPr fontId="2" type="noConversion"/>
  </si>
  <si>
    <t>官方成品模块</t>
  </si>
  <si>
    <t>官方成品模块</t>
    <phoneticPr fontId="2" type="noConversion"/>
  </si>
  <si>
    <t>硬件自制</t>
  </si>
  <si>
    <t>硬件自制</t>
    <phoneticPr fontId="2" type="noConversion"/>
  </si>
  <si>
    <t>机械自制</t>
  </si>
  <si>
    <t>机械自制</t>
    <phoneticPr fontId="2" type="noConversion"/>
  </si>
  <si>
    <t>型材焊接</t>
  </si>
  <si>
    <t>型材焊接</t>
    <phoneticPr fontId="2" type="noConversion"/>
  </si>
  <si>
    <t>2D雕刻</t>
  </si>
  <si>
    <t>2D雕刻</t>
    <phoneticPr fontId="2" type="noConversion"/>
  </si>
  <si>
    <t>机械标准件</t>
  </si>
  <si>
    <t>机械标准件</t>
    <phoneticPr fontId="2" type="noConversion"/>
  </si>
  <si>
    <t>备注</t>
    <phoneticPr fontId="2" type="noConversion"/>
  </si>
  <si>
    <t>序号</t>
    <phoneticPr fontId="2" type="noConversion"/>
  </si>
  <si>
    <t>3D打印</t>
  </si>
  <si>
    <t>轮组模块</t>
  </si>
  <si>
    <t>轴承</t>
    <phoneticPr fontId="2" type="noConversion"/>
  </si>
  <si>
    <t>P36</t>
    <phoneticPr fontId="2" type="noConversion"/>
  </si>
  <si>
    <t>轮轴</t>
    <phoneticPr fontId="2" type="noConversion"/>
  </si>
  <si>
    <t>摩擦轮固定板</t>
    <phoneticPr fontId="2" type="noConversion"/>
  </si>
  <si>
    <t>拨弹模块</t>
    <phoneticPr fontId="2" type="noConversion"/>
  </si>
  <si>
    <t>摩擦轮模块</t>
    <phoneticPr fontId="2" type="noConversion"/>
  </si>
  <si>
    <t>M3*8 12.9级内六角圆头</t>
    <phoneticPr fontId="2" type="noConversion"/>
  </si>
  <si>
    <t>枪口模块</t>
    <phoneticPr fontId="2" type="noConversion"/>
  </si>
  <si>
    <t>发射机构</t>
    <phoneticPr fontId="2" type="noConversion"/>
  </si>
  <si>
    <t>电源hub</t>
    <phoneticPr fontId="2" type="noConversion"/>
  </si>
  <si>
    <t>电源hub板</t>
    <phoneticPr fontId="2" type="noConversion"/>
  </si>
  <si>
    <t>工艺类别
（下拉菜单）</t>
    <phoneticPr fontId="2" type="noConversion"/>
  </si>
  <si>
    <t>采购方式
（下拉菜单）</t>
    <phoneticPr fontId="2" type="noConversion"/>
  </si>
  <si>
    <t>子模块数量
（自定义数字）</t>
    <phoneticPr fontId="2" type="noConversion"/>
  </si>
  <si>
    <t>属性
（下拉菜单）</t>
    <phoneticPr fontId="2" type="noConversion"/>
  </si>
  <si>
    <t>PCBA</t>
  </si>
  <si>
    <t>PCBA</t>
    <phoneticPr fontId="2" type="noConversion"/>
  </si>
  <si>
    <t>悬挂模块</t>
    <phoneticPr fontId="2" type="noConversion"/>
  </si>
  <si>
    <t>缓冲弹簧</t>
    <phoneticPr fontId="2" type="noConversion"/>
  </si>
  <si>
    <t>2mm碳钢丝</t>
    <phoneticPr fontId="2" type="noConversion"/>
  </si>
  <si>
    <t>其他机械定制件</t>
  </si>
  <si>
    <t>其他机械定制件</t>
    <phoneticPr fontId="2" type="noConversion"/>
  </si>
  <si>
    <t>底盘</t>
    <phoneticPr fontId="2" type="noConversion"/>
  </si>
  <si>
    <t>运算平台</t>
    <phoneticPr fontId="2" type="noConversion"/>
  </si>
  <si>
    <t>算法硬件</t>
    <phoneticPr fontId="2" type="noConversion"/>
  </si>
  <si>
    <t>RoboMaster开发板A板</t>
    <phoneticPr fontId="2" type="noConversion"/>
  </si>
  <si>
    <t>RoboMaster开发板A板</t>
    <phoneticPr fontId="2" type="noConversion"/>
  </si>
  <si>
    <t>miniPC</t>
    <phoneticPr fontId="2" type="noConversion"/>
  </si>
  <si>
    <t>电源模块</t>
    <phoneticPr fontId="2" type="noConversion"/>
  </si>
  <si>
    <t>触碰开关</t>
    <phoneticPr fontId="2" type="noConversion"/>
  </si>
  <si>
    <t>3mm-玻纤板/黑色</t>
    <phoneticPr fontId="2" type="noConversion"/>
  </si>
  <si>
    <t>传感器</t>
    <phoneticPr fontId="2" type="noConversion"/>
  </si>
  <si>
    <t>整机外观</t>
    <phoneticPr fontId="2" type="noConversion"/>
  </si>
  <si>
    <t>贴纸标识</t>
    <phoneticPr fontId="2" type="noConversion"/>
  </si>
  <si>
    <t>校徽贴纸</t>
    <phoneticPr fontId="2" type="noConversion"/>
  </si>
  <si>
    <t>底盘硬件</t>
    <phoneticPr fontId="2" type="noConversion"/>
  </si>
  <si>
    <t>采购（定制）</t>
  </si>
  <si>
    <t>采购（定制）</t>
    <phoneticPr fontId="2" type="noConversion"/>
  </si>
  <si>
    <t>采购（非定制）</t>
  </si>
  <si>
    <t>采购（非定制）</t>
    <phoneticPr fontId="2" type="noConversion"/>
  </si>
  <si>
    <t>父模块内该物料数量
（计算）</t>
    <phoneticPr fontId="2" type="noConversion"/>
  </si>
  <si>
    <t>父模块该物料总价
（计算）</t>
    <phoneticPr fontId="2" type="noConversion"/>
  </si>
  <si>
    <t>单机合计</t>
    <phoneticPr fontId="2" type="noConversion"/>
  </si>
  <si>
    <t>单机赞助</t>
    <phoneticPr fontId="2" type="noConversion"/>
  </si>
  <si>
    <t>单机除赞助合计</t>
    <phoneticPr fontId="2" type="noConversion"/>
  </si>
  <si>
    <t>物料名称
（自定义文本）</t>
    <phoneticPr fontId="2" type="noConversion"/>
  </si>
  <si>
    <t>单价【含税】
自制件填写材料费
赞助写市场价</t>
    <phoneticPr fontId="2" type="noConversion"/>
  </si>
  <si>
    <t>规格/型号
(填写标准型号)
自制和定制件填自定义型号或不填</t>
    <phoneticPr fontId="2" type="noConversion"/>
  </si>
  <si>
    <t>623ZZ</t>
    <phoneticPr fontId="2" type="noConversion"/>
  </si>
  <si>
    <t>定制</t>
    <phoneticPr fontId="2" type="noConversion"/>
  </si>
  <si>
    <t>RoboMaster</t>
    <phoneticPr fontId="2" type="noConversion"/>
  </si>
  <si>
    <t>2006电机</t>
    <phoneticPr fontId="2" type="noConversion"/>
  </si>
  <si>
    <t>哈尔滨轴承</t>
    <phoneticPr fontId="2" type="noConversion"/>
  </si>
  <si>
    <t>RoboMaster</t>
    <phoneticPr fontId="2" type="noConversion"/>
  </si>
  <si>
    <t>品牌
（自定义文本）
自制和定制件填自制和定制</t>
    <phoneticPr fontId="2" type="noConversion"/>
  </si>
  <si>
    <t>定制</t>
    <phoneticPr fontId="2" type="noConversion"/>
  </si>
  <si>
    <t>自制</t>
    <phoneticPr fontId="2" type="noConversion"/>
  </si>
  <si>
    <t>OMRON</t>
    <phoneticPr fontId="2" type="noConversion"/>
  </si>
  <si>
    <t>国标</t>
    <phoneticPr fontId="2" type="noConversion"/>
  </si>
  <si>
    <t>M3X8 内六角螺钉</t>
    <phoneticPr fontId="2" type="noConversion"/>
  </si>
  <si>
    <t>M3X8 内六角</t>
    <phoneticPr fontId="2" type="noConversion"/>
  </si>
  <si>
    <t>M2006-P36</t>
    <phoneticPr fontId="2" type="noConversion"/>
  </si>
  <si>
    <t>intel</t>
    <phoneticPr fontId="2" type="noConversion"/>
  </si>
  <si>
    <t>8259U</t>
    <phoneticPr fontId="2" type="noConversion"/>
  </si>
  <si>
    <t>8代i5</t>
    <phoneticPr fontId="2" type="noConversion"/>
  </si>
  <si>
    <t>Z-15GW-B</t>
    <phoneticPr fontId="2" type="noConversion"/>
  </si>
  <si>
    <t>15A</t>
    <phoneticPr fontId="2" type="noConversion"/>
  </si>
  <si>
    <t>自制</t>
    <phoneticPr fontId="2" type="noConversion"/>
  </si>
  <si>
    <t>大恒图像</t>
    <phoneticPr fontId="2" type="noConversion"/>
  </si>
  <si>
    <t>MER-030-210U3C</t>
    <phoneticPr fontId="2" type="noConversion"/>
  </si>
  <si>
    <t>相机</t>
    <phoneticPr fontId="2" type="noConversion"/>
  </si>
  <si>
    <t>相机</t>
    <phoneticPr fontId="2" type="noConversion"/>
  </si>
  <si>
    <t>A型</t>
    <phoneticPr fontId="2" type="noConversion"/>
  </si>
  <si>
    <t>子模块内该物料数量
（自定义数字）</t>
    <phoneticPr fontId="2" type="noConversion"/>
  </si>
  <si>
    <t>所属父模块
（自定义文本）</t>
    <phoneticPr fontId="2" type="noConversion"/>
  </si>
  <si>
    <t>所属子模块
（自定义文本）</t>
    <phoneticPr fontId="2" type="noConversion"/>
  </si>
  <si>
    <t>材料/尺寸/其他
（自定义文本）
没有可不填</t>
    <phoneticPr fontId="2" type="noConversion"/>
  </si>
  <si>
    <r>
      <t>BOM</t>
    </r>
    <r>
      <rPr>
        <sz val="11"/>
        <color rgb="FF000000"/>
        <rFont val="微软雅黑"/>
        <family val="2"/>
        <charset val="134"/>
      </rPr>
      <t>表请勿合并单元格，以便于后期分析数据</t>
    </r>
    <phoneticPr fontId="2" type="noConversion"/>
  </si>
  <si>
    <t>模块分类清晰</t>
  </si>
  <si>
    <t>内容真实完整</t>
  </si>
  <si>
    <t>数据呈现直观</t>
  </si>
  <si>
    <t>参考BOM表模板内的已有内容，根据队伍实际情况进行填写，要求内容真实完整</t>
    <phoneticPr fontId="2" type="noConversion"/>
  </si>
  <si>
    <t>自行添加工作表填写其他机器人的BOM信息</t>
    <phoneticPr fontId="2" type="noConversion"/>
  </si>
  <si>
    <t>评价维度</t>
    <phoneticPr fontId="2" type="noConversion"/>
  </si>
  <si>
    <t>分数</t>
    <phoneticPr fontId="2" type="noConversion"/>
  </si>
  <si>
    <t>工艺类别</t>
    <phoneticPr fontId="2" type="noConversion"/>
  </si>
  <si>
    <r>
      <rPr>
        <sz val="11"/>
        <color theme="1"/>
        <rFont val="宋体"/>
        <family val="3"/>
        <charset val="134"/>
        <scheme val="minor"/>
      </rPr>
      <t>车削304打螺丝凸肩</t>
    </r>
  </si>
  <si>
    <r>
      <rPr>
        <sz val="11"/>
        <color theme="1"/>
        <rFont val="宋体"/>
        <family val="3"/>
        <charset val="134"/>
        <scheme val="minor"/>
      </rPr>
      <t>黑色平面矮帽内六角螺栓对锁螺丝{50只（m4*10）}</t>
    </r>
    <phoneticPr fontId="2" type="noConversion"/>
  </si>
  <si>
    <r>
      <rPr>
        <sz val="11"/>
        <color theme="1"/>
        <rFont val="宋体"/>
        <family val="3"/>
        <charset val="134"/>
        <scheme val="minor"/>
      </rPr>
      <t>起重螺栓304不锈钢大平头{5套（6*25）}</t>
    </r>
  </si>
  <si>
    <r>
      <rPr>
        <sz val="11"/>
        <color theme="1"/>
        <rFont val="宋体"/>
        <family val="3"/>
        <charset val="134"/>
        <scheme val="minor"/>
      </rPr>
      <t>抽心圆头拉钉开口型拉柳钉螺丝{100（m4*16）}</t>
    </r>
  </si>
  <si>
    <r>
      <t>3d</t>
    </r>
    <r>
      <rPr>
        <sz val="11"/>
        <color theme="1"/>
        <rFont val="宋体"/>
        <family val="3"/>
        <charset val="134"/>
        <scheme val="minor"/>
      </rPr>
      <t>打印胶水</t>
    </r>
  </si>
  <si>
    <r>
      <rPr>
        <sz val="11"/>
        <color theme="1"/>
        <rFont val="宋体"/>
        <family val="3"/>
        <charset val="134"/>
        <scheme val="minor"/>
      </rPr>
      <t>单把柳丁枪</t>
    </r>
  </si>
  <si>
    <r>
      <t>3508</t>
    </r>
    <r>
      <rPr>
        <sz val="11"/>
        <color theme="1"/>
        <rFont val="宋体"/>
        <family val="3"/>
        <charset val="134"/>
        <scheme val="minor"/>
      </rPr>
      <t>摩擦轮</t>
    </r>
  </si>
  <si>
    <r>
      <rPr>
        <sz val="11"/>
        <color theme="1"/>
        <rFont val="宋体"/>
        <family val="3"/>
        <charset val="134"/>
        <scheme val="minor"/>
      </rPr>
      <t>轴承滑轮绿色</t>
    </r>
  </si>
  <si>
    <r>
      <rPr>
        <sz val="11"/>
        <color theme="1"/>
        <rFont val="宋体"/>
        <family val="3"/>
        <charset val="134"/>
        <scheme val="minor"/>
      </rPr>
      <t>轴承滑轮黑色</t>
    </r>
  </si>
  <si>
    <r>
      <t>304</t>
    </r>
    <r>
      <rPr>
        <sz val="11"/>
        <color theme="1"/>
        <rFont val="宋体"/>
        <family val="3"/>
        <charset val="134"/>
        <scheme val="minor"/>
      </rPr>
      <t>不锈钢加厚平垫圈（100个）</t>
    </r>
  </si>
  <si>
    <r>
      <t>DIN988</t>
    </r>
    <r>
      <rPr>
        <sz val="11"/>
        <color theme="1"/>
        <rFont val="宋体"/>
        <family val="3"/>
        <charset val="134"/>
        <scheme val="minor"/>
      </rPr>
      <t>超薄不锈钢调平整垫片（100只）</t>
    </r>
  </si>
  <si>
    <r>
      <rPr>
        <sz val="11"/>
        <color theme="1"/>
        <rFont val="宋体"/>
        <family val="3"/>
        <charset val="134"/>
        <scheme val="minor"/>
      </rPr>
      <t>交叉滚子 轴承</t>
    </r>
  </si>
  <si>
    <r>
      <rPr>
        <sz val="11"/>
        <color theme="1"/>
        <rFont val="宋体"/>
        <family val="3"/>
        <charset val="134"/>
        <scheme val="minor"/>
      </rPr>
      <t>小型滑环导电环</t>
    </r>
  </si>
  <si>
    <r>
      <rPr>
        <sz val="11"/>
        <color theme="1"/>
        <rFont val="宋体"/>
        <family val="3"/>
        <charset val="134"/>
        <scheme val="minor"/>
      </rPr>
      <t>数控铣数控车cnc（加工件）</t>
    </r>
  </si>
  <si>
    <r>
      <rPr>
        <sz val="11"/>
        <color theme="1"/>
        <rFont val="宋体"/>
        <family val="3"/>
        <charset val="134"/>
        <scheme val="minor"/>
      </rPr>
      <t>铝型材料加工（加工件）</t>
    </r>
  </si>
  <si>
    <r>
      <rPr>
        <sz val="11"/>
        <color theme="1"/>
        <rFont val="宋体"/>
        <family val="3"/>
        <charset val="134"/>
        <scheme val="minor"/>
      </rPr>
      <t>碳钎维版加工（加工件）</t>
    </r>
  </si>
  <si>
    <r>
      <rPr>
        <sz val="11"/>
        <color theme="1"/>
        <rFont val="宋体"/>
        <family val="3"/>
        <charset val="134"/>
        <scheme val="minor"/>
      </rPr>
      <t>防松自锁螺母{m5（50只）}</t>
    </r>
  </si>
  <si>
    <r>
      <rPr>
        <sz val="11"/>
        <color theme="1"/>
        <rFont val="宋体"/>
        <family val="3"/>
        <charset val="134"/>
        <scheme val="minor"/>
      </rPr>
      <t>防松自锁螺母{m4（50只）}</t>
    </r>
  </si>
  <si>
    <r>
      <rPr>
        <sz val="11"/>
        <color theme="1"/>
        <rFont val="宋体"/>
        <family val="3"/>
        <charset val="134"/>
        <scheme val="minor"/>
      </rPr>
      <t>减震器</t>
    </r>
  </si>
  <si>
    <r>
      <rPr>
        <sz val="11"/>
        <color theme="1"/>
        <rFont val="宋体"/>
        <family val="3"/>
        <charset val="134"/>
        <scheme val="minor"/>
      </rPr>
      <t>运费差价（减震器）</t>
    </r>
  </si>
  <si>
    <r>
      <rPr>
        <sz val="11"/>
        <color theme="1"/>
        <rFont val="宋体"/>
        <family val="3"/>
        <charset val="134"/>
        <scheme val="minor"/>
      </rPr>
      <t>避震器（前无弹簧135mm）</t>
    </r>
  </si>
  <si>
    <r>
      <rPr>
        <sz val="11"/>
        <color theme="1"/>
        <rFont val="宋体"/>
        <family val="3"/>
        <charset val="134"/>
        <scheme val="minor"/>
      </rPr>
      <t>避震器（前外置弹簧135mm）</t>
    </r>
  </si>
  <si>
    <r>
      <rPr>
        <sz val="11"/>
        <color theme="1"/>
        <rFont val="宋体"/>
        <family val="3"/>
        <charset val="134"/>
        <scheme val="minor"/>
      </rPr>
      <t>万象联轴器接头</t>
    </r>
  </si>
  <si>
    <r>
      <t>45mm</t>
    </r>
    <r>
      <rPr>
        <sz val="11"/>
        <color theme="1"/>
        <rFont val="宋体"/>
        <family val="3"/>
        <charset val="134"/>
        <scheme val="minor"/>
      </rPr>
      <t>长度连杆</t>
    </r>
  </si>
  <si>
    <r>
      <t>35mm</t>
    </r>
    <r>
      <rPr>
        <sz val="11"/>
        <color theme="1"/>
        <rFont val="宋体"/>
        <family val="3"/>
        <charset val="134"/>
        <scheme val="minor"/>
      </rPr>
      <t>长度连杆</t>
    </r>
  </si>
  <si>
    <r>
      <rPr>
        <sz val="11"/>
        <color theme="1"/>
        <rFont val="宋体"/>
        <family val="1"/>
        <charset val="134"/>
      </rPr>
      <t>运费</t>
    </r>
    <r>
      <rPr>
        <sz val="11"/>
        <color theme="1"/>
        <rFont val="Times New Roman"/>
        <family val="1"/>
      </rPr>
      <t>8</t>
    </r>
    <phoneticPr fontId="2" type="noConversion"/>
  </si>
  <si>
    <r>
      <rPr>
        <sz val="11"/>
        <color theme="1"/>
        <rFont val="宋体"/>
        <family val="1"/>
        <charset val="134"/>
      </rPr>
      <t>运费</t>
    </r>
    <r>
      <rPr>
        <sz val="11"/>
        <color theme="1"/>
        <rFont val="Times New Roman"/>
        <family val="1"/>
      </rPr>
      <t>12</t>
    </r>
    <phoneticPr fontId="2" type="noConversion"/>
  </si>
  <si>
    <r>
      <rPr>
        <sz val="11"/>
        <color theme="1"/>
        <rFont val="宋体"/>
        <family val="1"/>
        <charset val="134"/>
      </rPr>
      <t>运费</t>
    </r>
    <r>
      <rPr>
        <sz val="11"/>
        <color theme="1"/>
        <rFont val="Times New Roman"/>
        <family val="1"/>
      </rPr>
      <t>18</t>
    </r>
    <phoneticPr fontId="2" type="noConversion"/>
  </si>
  <si>
    <t>Al7075-T8</t>
    <phoneticPr fontId="2" type="noConversion"/>
  </si>
  <si>
    <t>Al7075-T9</t>
    <phoneticPr fontId="2" type="noConversion"/>
  </si>
  <si>
    <t>工具</t>
  </si>
  <si>
    <t>工具</t>
    <phoneticPr fontId="2" type="noConversion"/>
  </si>
  <si>
    <r>
      <rPr>
        <sz val="11"/>
        <color theme="1"/>
        <rFont val="宋体"/>
        <family val="3"/>
        <charset val="134"/>
        <scheme val="minor"/>
      </rPr>
      <t>弹簧浅灰色{拉1.4*8*70（3个）}</t>
    </r>
  </si>
  <si>
    <r>
      <rPr>
        <sz val="11"/>
        <color theme="1"/>
        <rFont val="宋体"/>
        <family val="3"/>
        <charset val="134"/>
        <scheme val="minor"/>
      </rPr>
      <t>弹簧灰色{拉1.4*8*90（3个）}</t>
    </r>
  </si>
  <si>
    <r>
      <rPr>
        <sz val="11"/>
        <color theme="1"/>
        <rFont val="宋体"/>
        <family val="3"/>
        <charset val="134"/>
        <scheme val="minor"/>
      </rPr>
      <t>弹簧深灰色{拉1.4*8*80（3个）}</t>
    </r>
  </si>
  <si>
    <r>
      <t>304</t>
    </r>
    <r>
      <rPr>
        <sz val="11"/>
        <color theme="1"/>
        <rFont val="宋体"/>
        <family val="3"/>
        <charset val="134"/>
        <scheme val="minor"/>
      </rPr>
      <t>平垫{5*10*1（50粒）}</t>
    </r>
  </si>
  <si>
    <r>
      <t>304</t>
    </r>
    <r>
      <rPr>
        <sz val="11"/>
        <color theme="1"/>
        <rFont val="宋体"/>
        <family val="3"/>
        <charset val="134"/>
        <scheme val="minor"/>
      </rPr>
      <t>平垫{4*10*0.8（50粒）}</t>
    </r>
  </si>
  <si>
    <r>
      <t>304</t>
    </r>
    <r>
      <rPr>
        <sz val="11"/>
        <color theme="1"/>
        <rFont val="宋体"/>
        <family val="3"/>
        <charset val="134"/>
        <scheme val="minor"/>
      </rPr>
      <t>平垫{4*7*0.8（50粒）}</t>
    </r>
  </si>
  <si>
    <r>
      <t>304</t>
    </r>
    <r>
      <rPr>
        <sz val="11"/>
        <color theme="1"/>
        <rFont val="宋体"/>
        <family val="3"/>
        <charset val="134"/>
        <scheme val="minor"/>
      </rPr>
      <t>平垫{3*6*1（50粒）}</t>
    </r>
  </si>
  <si>
    <r>
      <t>304</t>
    </r>
    <r>
      <rPr>
        <sz val="11"/>
        <color theme="1"/>
        <rFont val="宋体"/>
        <family val="3"/>
        <charset val="134"/>
        <scheme val="minor"/>
      </rPr>
      <t>平垫{3*6*0.5（50粒）}</t>
    </r>
  </si>
  <si>
    <r>
      <rPr>
        <sz val="11"/>
        <color theme="1"/>
        <rFont val="宋体"/>
        <family val="3"/>
        <charset val="134"/>
        <scheme val="minor"/>
      </rPr>
      <t>微型法兰轴承mf126zz</t>
    </r>
  </si>
  <si>
    <r>
      <rPr>
        <sz val="11"/>
        <color theme="1"/>
        <rFont val="宋体"/>
        <family val="3"/>
        <charset val="134"/>
        <scheme val="minor"/>
      </rPr>
      <t>微型压力轴承</t>
    </r>
  </si>
  <si>
    <r>
      <rPr>
        <sz val="11"/>
        <color theme="1"/>
        <rFont val="宋体"/>
        <family val="3"/>
        <charset val="134"/>
        <scheme val="minor"/>
      </rPr>
      <t>压力轴承51200</t>
    </r>
  </si>
  <si>
    <r>
      <rPr>
        <sz val="11"/>
        <color theme="1"/>
        <rFont val="宋体"/>
        <family val="3"/>
        <charset val="134"/>
        <scheme val="minor"/>
      </rPr>
      <t>高速精品轴承</t>
    </r>
  </si>
  <si>
    <r>
      <rPr>
        <sz val="11"/>
        <color theme="1"/>
        <rFont val="宋体"/>
        <family val="3"/>
        <charset val="134"/>
        <scheme val="minor"/>
      </rPr>
      <t>双通六角铜柱{m3*25（5粒）}</t>
    </r>
  </si>
  <si>
    <r>
      <rPr>
        <sz val="11"/>
        <color theme="1"/>
        <rFont val="宋体"/>
        <family val="3"/>
        <charset val="134"/>
        <scheme val="minor"/>
      </rPr>
      <t>不锈钢子母柳钉对锁装订螺丝{m4*16（8粒）}</t>
    </r>
  </si>
  <si>
    <r>
      <rPr>
        <sz val="11"/>
        <color theme="1"/>
        <rFont val="宋体"/>
        <family val="3"/>
        <charset val="134"/>
        <scheme val="minor"/>
      </rPr>
      <t>内六角凸肩螺丝{m2.5*5（5粒）}</t>
    </r>
  </si>
  <si>
    <r>
      <rPr>
        <sz val="11"/>
        <color theme="1"/>
        <rFont val="宋体"/>
        <family val="3"/>
        <charset val="134"/>
        <scheme val="minor"/>
      </rPr>
      <t>内六角凸肩螺丝{6*m5*12}</t>
    </r>
  </si>
  <si>
    <r>
      <rPr>
        <sz val="11"/>
        <color theme="1"/>
        <rFont val="宋体"/>
        <family val="3"/>
        <charset val="134"/>
        <scheme val="minor"/>
      </rPr>
      <t>内六角凸肩螺丝{6*m5*45}</t>
    </r>
  </si>
  <si>
    <r>
      <rPr>
        <sz val="11"/>
        <color theme="1"/>
        <rFont val="宋体"/>
        <family val="3"/>
        <charset val="134"/>
        <scheme val="minor"/>
      </rPr>
      <t>内六角凸肩螺丝{6*m5*60}</t>
    </r>
  </si>
  <si>
    <r>
      <rPr>
        <sz val="11"/>
        <color theme="1"/>
        <rFont val="宋体"/>
        <family val="3"/>
        <charset val="134"/>
        <scheme val="minor"/>
      </rPr>
      <t>内六角凸肩螺丝{m5*12（50粒）}</t>
    </r>
  </si>
  <si>
    <r>
      <rPr>
        <sz val="11"/>
        <color theme="1"/>
        <rFont val="宋体"/>
        <family val="3"/>
        <charset val="134"/>
        <scheme val="minor"/>
      </rPr>
      <t>内六角凸肩螺丝{m5*16（50粒）}</t>
    </r>
  </si>
  <si>
    <r>
      <rPr>
        <sz val="11"/>
        <color theme="1"/>
        <rFont val="宋体"/>
        <family val="3"/>
        <charset val="134"/>
        <scheme val="minor"/>
      </rPr>
      <t>内六角凸肩螺丝{m6*20（40粒）}</t>
    </r>
  </si>
  <si>
    <r>
      <rPr>
        <sz val="11"/>
        <color theme="1"/>
        <rFont val="宋体"/>
        <family val="3"/>
        <charset val="134"/>
        <scheme val="minor"/>
      </rPr>
      <t>内六角凸肩螺丝{m3*20（10粒）}</t>
    </r>
  </si>
  <si>
    <r>
      <rPr>
        <sz val="11"/>
        <color theme="1"/>
        <rFont val="宋体"/>
        <family val="3"/>
        <charset val="134"/>
        <scheme val="minor"/>
      </rPr>
      <t>内六角凸肩螺丝{m4*12（20粒）}</t>
    </r>
  </si>
  <si>
    <r>
      <rPr>
        <sz val="11"/>
        <color theme="1"/>
        <rFont val="宋体"/>
        <family val="3"/>
        <charset val="134"/>
        <scheme val="minor"/>
      </rPr>
      <t>内六角凸肩螺丝{m4*50（5粒）}</t>
    </r>
  </si>
  <si>
    <r>
      <rPr>
        <sz val="11"/>
        <color theme="1"/>
        <rFont val="宋体"/>
        <family val="3"/>
        <charset val="134"/>
        <scheme val="minor"/>
      </rPr>
      <t>全牙内六角凸肩螺丝{m2.5*10（10粒）}</t>
    </r>
  </si>
  <si>
    <r>
      <rPr>
        <sz val="11"/>
        <color theme="1"/>
        <rFont val="宋体"/>
        <family val="3"/>
        <charset val="134"/>
        <scheme val="minor"/>
      </rPr>
      <t>全牙内六角凸肩螺丝{m3*10（20粒）}</t>
    </r>
  </si>
  <si>
    <r>
      <rPr>
        <sz val="11"/>
        <color theme="1"/>
        <rFont val="宋体"/>
        <family val="3"/>
        <charset val="134"/>
        <scheme val="minor"/>
      </rPr>
      <t>全牙内六角凸肩螺丝{m3*30（5粒）}</t>
    </r>
  </si>
  <si>
    <r>
      <rPr>
        <sz val="11"/>
        <color theme="1"/>
        <rFont val="宋体"/>
        <family val="3"/>
        <charset val="134"/>
        <scheme val="minor"/>
      </rPr>
      <t>全牙内六角凸肩螺丝{m3*50（5粒）}</t>
    </r>
  </si>
  <si>
    <r>
      <rPr>
        <sz val="11"/>
        <color theme="1"/>
        <rFont val="宋体"/>
        <family val="3"/>
        <charset val="134"/>
        <scheme val="minor"/>
      </rPr>
      <t>全牙内六角凸肩螺丝{m3*8（20粒）}</t>
    </r>
  </si>
  <si>
    <r>
      <rPr>
        <sz val="11"/>
        <color theme="1"/>
        <rFont val="宋体"/>
        <family val="3"/>
        <charset val="134"/>
        <scheme val="minor"/>
      </rPr>
      <t>半牙内六角凸肩螺丝{m3*65（2粒）}</t>
    </r>
  </si>
  <si>
    <r>
      <rPr>
        <sz val="11"/>
        <color theme="1"/>
        <rFont val="宋体"/>
        <family val="3"/>
        <charset val="134"/>
        <scheme val="minor"/>
      </rPr>
      <t>全牙内六角凸肩螺丝{m4*10（10粒）}</t>
    </r>
  </si>
  <si>
    <r>
      <rPr>
        <sz val="11"/>
        <color theme="1"/>
        <rFont val="宋体"/>
        <family val="3"/>
        <charset val="134"/>
        <scheme val="minor"/>
      </rPr>
      <t>全牙内六角凸肩螺丝{m4*12（10粒）}</t>
    </r>
  </si>
  <si>
    <r>
      <rPr>
        <sz val="11"/>
        <color theme="1"/>
        <rFont val="宋体"/>
        <family val="3"/>
        <charset val="134"/>
        <scheme val="minor"/>
      </rPr>
      <t>全牙内六角凸肩螺丝{m4*30（5粒）}</t>
    </r>
  </si>
  <si>
    <r>
      <rPr>
        <sz val="11"/>
        <color theme="1"/>
        <rFont val="宋体"/>
        <family val="3"/>
        <charset val="134"/>
        <scheme val="minor"/>
      </rPr>
      <t>全牙内六角凸肩螺丝{m4*45（5粒）}</t>
    </r>
  </si>
  <si>
    <r>
      <rPr>
        <sz val="11"/>
        <color theme="1"/>
        <rFont val="宋体"/>
        <family val="3"/>
        <charset val="134"/>
        <scheme val="minor"/>
      </rPr>
      <t>全牙内六角凸肩螺丝{m4*70（1粒）}</t>
    </r>
  </si>
  <si>
    <r>
      <rPr>
        <sz val="11"/>
        <color theme="1"/>
        <rFont val="宋体"/>
        <family val="3"/>
        <charset val="134"/>
        <scheme val="minor"/>
      </rPr>
      <t>全牙内六角凸肩螺丝{m2.5*30（5粒）}</t>
    </r>
  </si>
  <si>
    <t>固万基</t>
    <phoneticPr fontId="2" type="noConversion"/>
  </si>
  <si>
    <t>佰瑞特</t>
    <phoneticPr fontId="2" type="noConversion"/>
  </si>
  <si>
    <t>Kexcelled 3D打印机耗材</t>
    <phoneticPr fontId="2" type="noConversion"/>
  </si>
  <si>
    <t>M4X10内六角</t>
    <phoneticPr fontId="2" type="noConversion"/>
  </si>
  <si>
    <t>M4X72内六角</t>
  </si>
  <si>
    <t>M4X16柳钉</t>
    <phoneticPr fontId="2" type="noConversion"/>
  </si>
  <si>
    <t>抽心圆头拉钉开口型拉柳钉螺丝{100（m4*16）}</t>
    <phoneticPr fontId="2" type="noConversion"/>
  </si>
  <si>
    <t>304平垫圈</t>
    <phoneticPr fontId="2" type="noConversion"/>
  </si>
  <si>
    <t>DIN988垫片</t>
    <phoneticPr fontId="2" type="noConversion"/>
  </si>
  <si>
    <t>M5螺母</t>
    <phoneticPr fontId="2" type="noConversion"/>
  </si>
  <si>
    <t>M4螺母</t>
    <phoneticPr fontId="2" type="noConversion"/>
  </si>
  <si>
    <t>M5X10X1平垫</t>
    <phoneticPr fontId="2" type="noConversion"/>
  </si>
  <si>
    <t>M4X10X0.8平垫</t>
    <phoneticPr fontId="2" type="noConversion"/>
  </si>
  <si>
    <t>M4X7X0.8平垫</t>
    <phoneticPr fontId="2" type="noConversion"/>
  </si>
  <si>
    <t>M3X6X1平垫</t>
    <phoneticPr fontId="2" type="noConversion"/>
  </si>
  <si>
    <t>M3X6X0.5平垫</t>
    <phoneticPr fontId="2" type="noConversion"/>
  </si>
  <si>
    <t>mf126zz</t>
    <phoneticPr fontId="2" type="noConversion"/>
  </si>
  <si>
    <t>M3X25铜柱</t>
    <phoneticPr fontId="2" type="noConversion"/>
  </si>
  <si>
    <t>M2.5X5内六角凸肩</t>
    <phoneticPr fontId="2" type="noConversion"/>
  </si>
  <si>
    <t>M6X5X12内六角凸肩</t>
    <phoneticPr fontId="2" type="noConversion"/>
  </si>
  <si>
    <t>M6X5X45内六角凸肩</t>
    <phoneticPr fontId="2" type="noConversion"/>
  </si>
  <si>
    <t>M6X5X60内六角凸肩</t>
    <phoneticPr fontId="2" type="noConversion"/>
  </si>
  <si>
    <t>M5X12内六角凸肩</t>
    <phoneticPr fontId="2" type="noConversion"/>
  </si>
  <si>
    <t>M5X16内六角凸肩</t>
    <phoneticPr fontId="2" type="noConversion"/>
  </si>
  <si>
    <t>M6X20内六角凸肩</t>
    <phoneticPr fontId="2" type="noConversion"/>
  </si>
  <si>
    <t>M3X20内六角凸肩</t>
    <phoneticPr fontId="2" type="noConversion"/>
  </si>
  <si>
    <t>M4X12内六角凸肩</t>
    <phoneticPr fontId="2" type="noConversion"/>
  </si>
  <si>
    <t>M4X50内六角凸肩</t>
    <phoneticPr fontId="2" type="noConversion"/>
  </si>
  <si>
    <t>M2.5X10全牙内六角凸肩</t>
    <phoneticPr fontId="2" type="noConversion"/>
  </si>
  <si>
    <t>M3X10全牙内六角凸肩</t>
    <phoneticPr fontId="2" type="noConversion"/>
  </si>
  <si>
    <t>M3X30全牙内六角凸肩</t>
    <phoneticPr fontId="2" type="noConversion"/>
  </si>
  <si>
    <t>M3X50全牙内六角凸肩</t>
    <phoneticPr fontId="2" type="noConversion"/>
  </si>
  <si>
    <t>M3X8全牙内六角凸肩</t>
    <phoneticPr fontId="2" type="noConversion"/>
  </si>
  <si>
    <t>M3X65全牙内六角凸肩</t>
    <phoneticPr fontId="2" type="noConversion"/>
  </si>
  <si>
    <t>M4X10全牙内六角凸肩</t>
    <phoneticPr fontId="2" type="noConversion"/>
  </si>
  <si>
    <t>M4X12全牙内六角凸肩</t>
    <phoneticPr fontId="2" type="noConversion"/>
  </si>
  <si>
    <t>M4X30全牙内六角凸肩</t>
    <phoneticPr fontId="2" type="noConversion"/>
  </si>
  <si>
    <t>M4X45全牙内六角凸肩</t>
    <phoneticPr fontId="2" type="noConversion"/>
  </si>
  <si>
    <t>600电池</t>
  </si>
  <si>
    <t>c315无刷电机</t>
  </si>
  <si>
    <t>开发板c型</t>
  </si>
  <si>
    <t>电调中心版2</t>
  </si>
  <si>
    <t>开发板线材包</t>
  </si>
  <si>
    <t>电池架</t>
  </si>
  <si>
    <t>红点激光器</t>
  </si>
  <si>
    <t>gm6020直流无刷电机</t>
  </si>
  <si>
    <t>右旋麦克纳姆轮</t>
  </si>
  <si>
    <t>左旋麦克纳姆轮</t>
  </si>
  <si>
    <t>m3508 p19直流无刷减速电机</t>
  </si>
  <si>
    <t>c620无刷电机调速器</t>
  </si>
  <si>
    <t>c610无刷减速电机调速器</t>
  </si>
  <si>
    <t>17mm荧光弹丸充能装置</t>
  </si>
  <si>
    <t>战车易损线材包cp02</t>
  </si>
  <si>
    <t>机器人专用遥控器接收装置</t>
  </si>
  <si>
    <t>金手指高温胶带{8*30}</t>
    <phoneticPr fontId="2" type="noConversion"/>
  </si>
  <si>
    <t>金手指高温胶带{20*30}</t>
    <phoneticPr fontId="2" type="noConversion"/>
  </si>
  <si>
    <t>金手指高温胶带{30*30}</t>
    <phoneticPr fontId="2" type="noConversion"/>
  </si>
  <si>
    <t>顺兴旺胶带</t>
    <phoneticPr fontId="2" type="noConversion"/>
  </si>
  <si>
    <t>环氧板</t>
    <phoneticPr fontId="2" type="noConversion"/>
  </si>
  <si>
    <t>yourcee</t>
    <phoneticPr fontId="2" type="noConversion"/>
  </si>
  <si>
    <t>鑫鸿顺塑胶材料</t>
    <phoneticPr fontId="2" type="noConversion"/>
  </si>
  <si>
    <t>550030M面罩主体</t>
    <phoneticPr fontId="2" type="noConversion"/>
  </si>
  <si>
    <t>750027滤棉盖</t>
    <phoneticPr fontId="2" type="noConversion"/>
  </si>
  <si>
    <t>750015滤棉盖</t>
    <phoneticPr fontId="2" type="noConversion"/>
  </si>
  <si>
    <t>7506N95颗粒物过滤棉</t>
    <phoneticPr fontId="2" type="noConversion"/>
  </si>
  <si>
    <t>75001CN滤毒盒</t>
    <phoneticPr fontId="2" type="noConversion"/>
  </si>
  <si>
    <t>劳保乐</t>
    <phoneticPr fontId="2" type="noConversion"/>
  </si>
  <si>
    <t>队服</t>
    <phoneticPr fontId="2" type="noConversion"/>
  </si>
  <si>
    <t>凡适服装</t>
    <phoneticPr fontId="2" type="noConversion"/>
  </si>
  <si>
    <t>上普壹明五金</t>
    <phoneticPr fontId="2" type="noConversion"/>
  </si>
  <si>
    <t>S-300-5/5V 60A{直流开关}</t>
    <phoneticPr fontId="2" type="noConversion"/>
  </si>
  <si>
    <t>深圳市辉盈博科技</t>
    <phoneticPr fontId="2" type="noConversion"/>
  </si>
  <si>
    <t>8X32像素屏/普通款</t>
    <phoneticPr fontId="2" type="noConversion"/>
  </si>
  <si>
    <t>德国化工品养护</t>
    <phoneticPr fontId="2" type="noConversion"/>
  </si>
  <si>
    <t>清洗剂600ml</t>
    <phoneticPr fontId="2" type="noConversion"/>
  </si>
  <si>
    <t>telesky</t>
    <phoneticPr fontId="2" type="noConversion"/>
  </si>
  <si>
    <t>杜邦线</t>
    <phoneticPr fontId="2" type="noConversion"/>
  </si>
  <si>
    <t>华强新科电子</t>
    <phoneticPr fontId="2" type="noConversion"/>
  </si>
  <si>
    <t>JLINK V9 仿真下载器</t>
    <phoneticPr fontId="2" type="noConversion"/>
  </si>
  <si>
    <t>豪亿材料厂</t>
    <phoneticPr fontId="2" type="noConversion"/>
  </si>
  <si>
    <t>铝方管</t>
    <phoneticPr fontId="2" type="noConversion"/>
  </si>
  <si>
    <t>电子时代商场</t>
    <phoneticPr fontId="2" type="noConversion"/>
  </si>
  <si>
    <t>12V5050单排120珠</t>
    <phoneticPr fontId="2" type="noConversion"/>
  </si>
  <si>
    <t>创力五金</t>
    <phoneticPr fontId="2" type="noConversion"/>
  </si>
  <si>
    <t>砂轮片 105X0.9X16</t>
    <phoneticPr fontId="2" type="noConversion"/>
  </si>
  <si>
    <t>则杨塑胶工厂店</t>
    <phoneticPr fontId="2" type="noConversion"/>
  </si>
  <si>
    <t>定制亚克力板</t>
    <phoneticPr fontId="2" type="noConversion"/>
  </si>
  <si>
    <t>常州晨阳轴承</t>
    <phoneticPr fontId="2" type="noConversion"/>
  </si>
  <si>
    <t>铝合金星型联轴器</t>
    <phoneticPr fontId="2" type="noConversion"/>
  </si>
  <si>
    <t>risym</t>
    <phoneticPr fontId="2" type="noConversion"/>
  </si>
  <si>
    <t>ENC-03M传感器模块</t>
    <phoneticPr fontId="2" type="noConversion"/>
  </si>
  <si>
    <t>卧式支撑座光轴支架</t>
    <phoneticPr fontId="2" type="noConversion"/>
  </si>
  <si>
    <t>立式SK30</t>
    <phoneticPr fontId="2" type="noConversion"/>
  </si>
  <si>
    <t>麦克纳姆小胶轮</t>
    <phoneticPr fontId="2" type="noConversion"/>
  </si>
  <si>
    <t>超级电容模组</t>
    <phoneticPr fontId="2" type="noConversion"/>
  </si>
  <si>
    <t>超级电容充电器 控制器</t>
    <phoneticPr fontId="2" type="noConversion"/>
  </si>
  <si>
    <t>超级电容充电器 24V稳压模块</t>
    <phoneticPr fontId="2" type="noConversion"/>
  </si>
  <si>
    <t>缠线贴纸</t>
    <phoneticPr fontId="2" type="noConversion"/>
  </si>
  <si>
    <t>硅胶线</t>
    <phoneticPr fontId="2" type="noConversion"/>
  </si>
  <si>
    <t>XT60转XT30转接头</t>
    <phoneticPr fontId="2" type="noConversion"/>
  </si>
  <si>
    <t>电池插头XT30</t>
    <phoneticPr fontId="2" type="noConversion"/>
  </si>
  <si>
    <t>电池插头XT60</t>
    <phoneticPr fontId="2" type="noConversion"/>
  </si>
  <si>
    <t>C&amp;U 6200尺寸10*30*9</t>
    <phoneticPr fontId="2" type="noConversion"/>
  </si>
  <si>
    <t>直线光轴 10*1000mm</t>
    <phoneticPr fontId="2" type="noConversion"/>
  </si>
  <si>
    <t>上海防震包装厂</t>
    <phoneticPr fontId="2" type="noConversion"/>
  </si>
  <si>
    <t>110*200*1黑色epe珍珠棉</t>
    <phoneticPr fontId="2" type="noConversion"/>
  </si>
  <si>
    <t>摩冈</t>
    <phoneticPr fontId="2" type="noConversion"/>
  </si>
  <si>
    <t>摩冈绑带防爆 4*20000</t>
    <phoneticPr fontId="2" type="noConversion"/>
  </si>
  <si>
    <t xml:space="preserve">摩冈绑带防爆 </t>
    <phoneticPr fontId="2" type="noConversion"/>
  </si>
  <si>
    <t>胶水批发厂家直销</t>
    <phoneticPr fontId="2" type="noConversion"/>
  </si>
  <si>
    <t>汉高乐泰270 250ml</t>
    <phoneticPr fontId="2" type="noConversion"/>
  </si>
  <si>
    <t>乐泰401</t>
    <phoneticPr fontId="2" type="noConversion"/>
  </si>
  <si>
    <t>乐泰243</t>
    <phoneticPr fontId="2" type="noConversion"/>
  </si>
  <si>
    <t>12.9级高强度内六角螺丝{2.5*10（20粒）}</t>
    <phoneticPr fontId="2" type="noConversion"/>
  </si>
  <si>
    <t>12.9级高强度内六角螺丝{2.5*5（20粒）}</t>
    <phoneticPr fontId="2" type="noConversion"/>
  </si>
  <si>
    <t>12.9级高强度内六角螺丝{2.5*30（10粒）}</t>
    <phoneticPr fontId="2" type="noConversion"/>
  </si>
  <si>
    <t>12.9级高强度内六角螺丝{3*10（20粒）}</t>
    <phoneticPr fontId="2" type="noConversion"/>
  </si>
  <si>
    <t>12.9级高强度内六角螺丝{4*30（5粒）}</t>
    <phoneticPr fontId="2" type="noConversion"/>
  </si>
  <si>
    <t>12.9级高强度内六角螺丝{3*30（5粒）}</t>
    <phoneticPr fontId="2" type="noConversion"/>
  </si>
  <si>
    <t>12.9级高强度内六角螺丝{3*8（20粒）}</t>
    <phoneticPr fontId="2" type="noConversion"/>
  </si>
  <si>
    <t>12.9级高强度内六角螺丝{4*10（10粒）}</t>
    <phoneticPr fontId="2" type="noConversion"/>
  </si>
  <si>
    <t>12.9级高强度内六角螺丝{3*20（20粒）}</t>
    <phoneticPr fontId="2" type="noConversion"/>
  </si>
  <si>
    <t>易生</t>
    <phoneticPr fontId="2" type="noConversion"/>
  </si>
  <si>
    <t>PLA-ST 3D打印材料</t>
    <phoneticPr fontId="2" type="noConversion"/>
  </si>
  <si>
    <t>爱能特</t>
    <phoneticPr fontId="2" type="noConversion"/>
  </si>
  <si>
    <t>美纹纸</t>
    <phoneticPr fontId="2" type="noConversion"/>
  </si>
  <si>
    <t>美纹纸 65mm*27m</t>
    <phoneticPr fontId="2" type="noConversion"/>
  </si>
  <si>
    <t>美纹纸 50mm*20m</t>
    <phoneticPr fontId="2" type="noConversion"/>
  </si>
  <si>
    <t>深圳聚氨酯包胶</t>
    <phoneticPr fontId="2" type="noConversion"/>
  </si>
  <si>
    <t>定制天行车走轮包胶</t>
    <phoneticPr fontId="2" type="noConversion"/>
  </si>
  <si>
    <t>天卓五金</t>
    <phoneticPr fontId="2" type="noConversion"/>
  </si>
  <si>
    <t>六角螺栓螺丝螺母套装 10*60-10套</t>
    <phoneticPr fontId="2" type="noConversion"/>
  </si>
  <si>
    <t>六角螺栓螺丝螺母套装 12*60-5套</t>
    <phoneticPr fontId="2" type="noConversion"/>
  </si>
  <si>
    <t>e键打印</t>
    <phoneticPr fontId="2" type="noConversion"/>
  </si>
  <si>
    <t>定制铝合金</t>
    <phoneticPr fontId="2" type="noConversion"/>
  </si>
  <si>
    <t>雾列控制</t>
    <phoneticPr fontId="2" type="noConversion"/>
  </si>
  <si>
    <t>斯拜得通信标识</t>
    <phoneticPr fontId="2" type="noConversion"/>
  </si>
  <si>
    <t>深圳国际电子城</t>
    <phoneticPr fontId="2" type="noConversion"/>
  </si>
  <si>
    <t>电控</t>
  </si>
  <si>
    <t>电控</t>
    <phoneticPr fontId="2" type="noConversion"/>
  </si>
  <si>
    <t>视觉</t>
  </si>
  <si>
    <t>视觉</t>
    <phoneticPr fontId="2" type="noConversion"/>
  </si>
  <si>
    <t>小型微动开关\带柄3脚左弯脚</t>
    <phoneticPr fontId="2" type="noConversion"/>
  </si>
  <si>
    <t>M2.5X5内六角</t>
    <phoneticPr fontId="2" type="noConversion"/>
  </si>
  <si>
    <t>M2.5X30内六角</t>
    <phoneticPr fontId="2" type="noConversion"/>
  </si>
  <si>
    <t>M2.5X10内六角</t>
    <phoneticPr fontId="2" type="noConversion"/>
  </si>
  <si>
    <t>M3X10内六角</t>
    <phoneticPr fontId="2" type="noConversion"/>
  </si>
  <si>
    <t>M4X30内六角</t>
    <phoneticPr fontId="2" type="noConversion"/>
  </si>
  <si>
    <t>M3X30内六角</t>
    <phoneticPr fontId="2" type="noConversion"/>
  </si>
  <si>
    <t>M3X8内六角</t>
    <phoneticPr fontId="2" type="noConversion"/>
  </si>
  <si>
    <t>M3X20内六角</t>
    <phoneticPr fontId="2" type="noConversion"/>
  </si>
  <si>
    <t>M12X60螺栓螺丝螺母</t>
    <phoneticPr fontId="2" type="noConversion"/>
  </si>
  <si>
    <t>M10X60螺栓螺丝螺母</t>
    <phoneticPr fontId="2" type="noConversion"/>
  </si>
  <si>
    <t>C型</t>
    <phoneticPr fontId="2" type="noConversion"/>
  </si>
  <si>
    <t>螺丝</t>
    <phoneticPr fontId="2" type="noConversion"/>
  </si>
  <si>
    <t>胶水</t>
    <phoneticPr fontId="2" type="noConversion"/>
  </si>
  <si>
    <t>柳钉枪</t>
    <phoneticPr fontId="2" type="noConversion"/>
  </si>
  <si>
    <t>摩擦轮</t>
    <phoneticPr fontId="2" type="noConversion"/>
  </si>
  <si>
    <t>平垫圈</t>
    <phoneticPr fontId="2" type="noConversion"/>
  </si>
  <si>
    <t>垫片</t>
    <phoneticPr fontId="2" type="noConversion"/>
  </si>
  <si>
    <t>导电滑环</t>
    <phoneticPr fontId="2" type="noConversion"/>
  </si>
  <si>
    <t>铝管</t>
    <phoneticPr fontId="2" type="noConversion"/>
  </si>
  <si>
    <t>车身外壳</t>
    <phoneticPr fontId="2" type="noConversion"/>
  </si>
  <si>
    <t>支柱</t>
    <phoneticPr fontId="2" type="noConversion"/>
  </si>
  <si>
    <t>螺母</t>
    <phoneticPr fontId="2" type="noConversion"/>
  </si>
  <si>
    <t>减震器</t>
    <phoneticPr fontId="2" type="noConversion"/>
  </si>
  <si>
    <t>避震器</t>
    <phoneticPr fontId="2" type="noConversion"/>
  </si>
  <si>
    <t>联轴器</t>
    <phoneticPr fontId="2" type="noConversion"/>
  </si>
  <si>
    <t>连杆</t>
    <phoneticPr fontId="2" type="noConversion"/>
  </si>
  <si>
    <t>弹簧</t>
    <phoneticPr fontId="2" type="noConversion"/>
  </si>
  <si>
    <t>铜柱</t>
    <phoneticPr fontId="2" type="noConversion"/>
  </si>
  <si>
    <t>PLA</t>
    <phoneticPr fontId="2" type="noConversion"/>
  </si>
  <si>
    <t>轮子包胶</t>
    <phoneticPr fontId="2" type="noConversion"/>
  </si>
  <si>
    <t>铝</t>
    <phoneticPr fontId="2" type="noConversion"/>
  </si>
  <si>
    <t>电池</t>
    <phoneticPr fontId="2" type="noConversion"/>
  </si>
  <si>
    <t>电机</t>
    <phoneticPr fontId="2" type="noConversion"/>
  </si>
  <si>
    <t>C板</t>
    <phoneticPr fontId="2" type="noConversion"/>
  </si>
  <si>
    <t>中心板</t>
    <phoneticPr fontId="2" type="noConversion"/>
  </si>
  <si>
    <t>电池架</t>
    <phoneticPr fontId="2" type="noConversion"/>
  </si>
  <si>
    <t>红点激光器</t>
    <phoneticPr fontId="2" type="noConversion"/>
  </si>
  <si>
    <t>麦轮</t>
    <phoneticPr fontId="2" type="noConversion"/>
  </si>
  <si>
    <t>电机调速器</t>
    <phoneticPr fontId="2" type="noConversion"/>
  </si>
  <si>
    <t>荧光弹丸充能装置</t>
    <phoneticPr fontId="2" type="noConversion"/>
  </si>
  <si>
    <t>遥控器接收</t>
    <phoneticPr fontId="2" type="noConversion"/>
  </si>
  <si>
    <t>胶带</t>
    <phoneticPr fontId="2" type="noConversion"/>
  </si>
  <si>
    <t>开关</t>
    <phoneticPr fontId="2" type="noConversion"/>
  </si>
  <si>
    <t>面罩</t>
    <phoneticPr fontId="2" type="noConversion"/>
  </si>
  <si>
    <t>滤棉盖</t>
    <phoneticPr fontId="2" type="noConversion"/>
  </si>
  <si>
    <t>过滤棉</t>
    <phoneticPr fontId="2" type="noConversion"/>
  </si>
  <si>
    <t>滤毒盒</t>
    <phoneticPr fontId="2" type="noConversion"/>
  </si>
  <si>
    <t>像素屏</t>
    <phoneticPr fontId="2" type="noConversion"/>
  </si>
  <si>
    <t>清洗剂</t>
    <phoneticPr fontId="2" type="noConversion"/>
  </si>
  <si>
    <t>仿真下载器</t>
    <phoneticPr fontId="2" type="noConversion"/>
  </si>
  <si>
    <t>砂轮片</t>
    <phoneticPr fontId="2" type="noConversion"/>
  </si>
  <si>
    <t>镜头保护盖</t>
    <phoneticPr fontId="2" type="noConversion"/>
  </si>
  <si>
    <t>支架</t>
    <phoneticPr fontId="2" type="noConversion"/>
  </si>
  <si>
    <t>珍珠棉</t>
    <phoneticPr fontId="2" type="noConversion"/>
  </si>
  <si>
    <t>螺栓一套</t>
    <phoneticPr fontId="2" type="noConversion"/>
  </si>
  <si>
    <t>绑带</t>
    <phoneticPr fontId="2" type="noConversion"/>
  </si>
  <si>
    <t>超级电容</t>
    <phoneticPr fontId="2" type="noConversion"/>
  </si>
  <si>
    <t>贴纸</t>
    <phoneticPr fontId="2" type="noConversion"/>
  </si>
  <si>
    <t>插头</t>
    <phoneticPr fontId="2" type="noConversion"/>
  </si>
  <si>
    <t>转接头</t>
    <phoneticPr fontId="2" type="noConversion"/>
  </si>
  <si>
    <t>工具材料</t>
    <phoneticPr fontId="2" type="noConversion"/>
  </si>
  <si>
    <t>整体</t>
    <phoneticPr fontId="2" type="noConversion"/>
  </si>
  <si>
    <t>队员</t>
    <phoneticPr fontId="2" type="noConversion"/>
  </si>
  <si>
    <t>整体外观</t>
    <phoneticPr fontId="2" type="noConversion"/>
  </si>
  <si>
    <t>轮组模块</t>
    <phoneticPr fontId="2" type="noConversion"/>
  </si>
  <si>
    <t>整车</t>
    <phoneticPr fontId="2" type="noConversion"/>
  </si>
  <si>
    <t>定制队服（夏）</t>
    <phoneticPr fontId="2" type="noConversion"/>
  </si>
  <si>
    <t>队服（冬）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</si>
</sst>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0_);[Red]\(0\)"/>
    <numFmt numFmtId="177" formatCode="0_ "/>
  </numFmts>
  <fonts count="12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000000"/>
      <name val="微软雅黑"/>
      <family val="2"/>
      <charset val="134"/>
    </font>
    <font>
      <i/>
      <sz val="11"/>
      <color rgb="FF7F7F7F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1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3" xfId="1" applyFont="1" applyBorder="1" applyAlignment="1" applyProtection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7" fillId="2" borderId="1" xfId="1" applyFont="1" applyBorder="1" applyAlignment="1" applyProtection="1">
      <alignment horizontal="center" vertical="center" wrapText="1"/>
    </xf>
    <xf numFmtId="176" fontId="7" fillId="2" borderId="1" xfId="1" applyNumberFormat="1" applyFont="1" applyBorder="1" applyAlignment="1" applyProtection="1">
      <alignment horizontal="center" vertical="center" wrapText="1"/>
    </xf>
    <xf numFmtId="8" fontId="7" fillId="2" borderId="1" xfId="1" applyNumberFormat="1" applyFont="1" applyBorder="1" applyAlignment="1" applyProtection="1">
      <alignment horizontal="center" vertical="center" wrapText="1"/>
    </xf>
    <xf numFmtId="0" fontId="7" fillId="2" borderId="2" xfId="1" applyFont="1" applyBorder="1" applyAlignment="1" applyProtection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77" fontId="7" fillId="0" borderId="0" xfId="2" applyNumberFormat="1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0" borderId="0" xfId="2" applyFont="1" applyFill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</cellXfs>
  <cellStyles count="3">
    <cellStyle name="常规" xfId="0" builtinId="0"/>
    <cellStyle name="解释性文本" xfId="2" builtinId="53"/>
    <cellStyle name="着色 1" xfId="1" builtinId="29"/>
  </cellStyles>
  <dxfs count="25"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numFmt numFmtId="177" formatCode="0_ "/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vertical="center" textRotation="0" wrapText="1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1"/>
        <color theme="1"/>
        <name val="宋体"/>
        <charset val="134"/>
        <scheme val="none"/>
      </font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微软雅黑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各工艺类别占比表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F68-4D13-B5A5-37641400AC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F68-4D13-B5A5-37641400AC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F68-4D13-B5A5-37641400AC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F68-4D13-B5A5-37641400AC5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F68-4D13-B5A5-37641400AC5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F68-4D13-B5A5-37641400AC5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F68-4D13-B5A5-37641400AC5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F68-4D13-B5A5-37641400AC5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F68-4D13-B5A5-37641400AC5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F68-4D13-B5A5-37641400AC52}"/>
              </c:ext>
            </c:extLst>
          </c:dPt>
          <c:dLbls>
            <c:dLbl>
              <c:idx val="7"/>
              <c:layout>
                <c:manualLayout>
                  <c:x val="2.3289151356080489E-2"/>
                  <c:y val="-0.174667986860923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F68-4D13-B5A5-37641400AC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工艺类别总览!$A$2:$A$11</c:f>
              <c:strCache>
                <c:ptCount val="10"/>
                <c:pt idx="0">
                  <c:v>车&amp;铣</c:v>
                </c:pt>
                <c:pt idx="1">
                  <c:v>钣金</c:v>
                </c:pt>
                <c:pt idx="2">
                  <c:v>2D雕刻</c:v>
                </c:pt>
                <c:pt idx="3">
                  <c:v>3D打印</c:v>
                </c:pt>
                <c:pt idx="4">
                  <c:v>型材焊接</c:v>
                </c:pt>
                <c:pt idx="5">
                  <c:v>线材</c:v>
                </c:pt>
                <c:pt idx="6">
                  <c:v>机械标准件</c:v>
                </c:pt>
                <c:pt idx="7">
                  <c:v>非官方成品模块</c:v>
                </c:pt>
                <c:pt idx="8">
                  <c:v>官方成品模块</c:v>
                </c:pt>
                <c:pt idx="9">
                  <c:v>其他</c:v>
                </c:pt>
              </c:strCache>
            </c:strRef>
          </c:cat>
          <c:val>
            <c:numRef>
              <c:f>工艺类别总览!$C$2:$C$11</c:f>
              <c:numCache>
                <c:formatCode>General</c:formatCode>
                <c:ptCount val="10"/>
                <c:pt idx="0">
                  <c:v>4427.04</c:v>
                </c:pt>
                <c:pt idx="1">
                  <c:v>0</c:v>
                </c:pt>
                <c:pt idx="2">
                  <c:v>10</c:v>
                </c:pt>
                <c:pt idx="3">
                  <c:v>253.60000000000002</c:v>
                </c:pt>
                <c:pt idx="4">
                  <c:v>390</c:v>
                </c:pt>
                <c:pt idx="5">
                  <c:v>108</c:v>
                </c:pt>
                <c:pt idx="6">
                  <c:v>2834.2400000000002</c:v>
                </c:pt>
                <c:pt idx="7">
                  <c:v>15633.7</c:v>
                </c:pt>
                <c:pt idx="8">
                  <c:v>17145</c:v>
                </c:pt>
                <c:pt idx="9">
                  <c:v>2998.34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F68-4D13-B5A5-37641400AC5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129540</xdr:colOff>
      <xdr:row>0</xdr:row>
      <xdr:rowOff>53340</xdr:rowOff>
    </xdr:from>
    <xdr:to>
      <xdr:col>10</xdr:col>
      <xdr:colOff>381000</xdr:colOff>
      <xdr:row>13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表4" displayName="表4" ref="A1:C11" totalsRowShown="0" headerRowDxfId="24" dataDxfId="22" headerRowBorderDxfId="23" tableBorderDxfId="21" headerRowCellStyle="着色 1">
  <autoFilter ref="A1:C11" xr:uid="{00000000-0009-0000-0100-000004000000}"/>
  <tableColumns count="3">
    <tableColumn id="1" xr3:uid="{00000000-0010-0000-0000-000001000000}" name="工艺类别" dataDxfId="20"/>
    <tableColumn id="2" xr3:uid="{00000000-0010-0000-0000-000002000000}" name="步兵机器人" dataDxfId="19">
      <calculatedColumnFormula>SUMIF(表1[工艺类别
（下拉菜单）],表4[[#This Row],[工艺类别]],表1[父模块该物料总价
（计算）])</calculatedColumnFormula>
    </tableColumn>
    <tableColumn id="5" xr3:uid="{00000000-0010-0000-0000-000005000000}" name="总价" dataDxfId="18">
      <calculatedColumnFormula>SUM(表4[[#This Row],[步兵机器人]])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表1" displayName="表1" ref="A1:P149" totalsRowShown="0" headerRowDxfId="17" dataDxfId="16" dataCellStyle="解释性文本">
  <autoFilter ref="A1:P149" xr:uid="{00000000-0009-0000-0100-000001000000}"/>
  <sortState xmlns:xlrd2="http://schemas.microsoft.com/office/spreadsheetml/2017/richdata2" ref="A2:P149">
    <sortCondition ref="E1:E149"/>
  </sortState>
  <tableColumns count="16">
    <tableColumn id="1" xr3:uid="{00000000-0010-0000-0100-000001000000}" name="序号" dataDxfId="15" dataCellStyle="解释性文本"/>
    <tableColumn id="2" xr3:uid="{00000000-0010-0000-0100-000002000000}" name="所属父模块_x000a_（自定义文本）" dataDxfId="14" dataCellStyle="解释性文本"/>
    <tableColumn id="3" xr3:uid="{00000000-0010-0000-0100-000003000000}" name="所属子模块_x000a_（自定义文本）" dataDxfId="13" dataCellStyle="解释性文本"/>
    <tableColumn id="4" xr3:uid="{00000000-0010-0000-0100-000004000000}" name="子模块数量_x000a_（自定义数字）" dataDxfId="12" dataCellStyle="解释性文本"/>
    <tableColumn id="5" xr3:uid="{00000000-0010-0000-0100-000005000000}" name="物料名称_x000a_（自定义文本）" dataDxfId="11" dataCellStyle="解释性文本"/>
    <tableColumn id="6" xr3:uid="{00000000-0010-0000-0100-000006000000}" name="子模块内该物料数量_x000a_（自定义数字）" dataDxfId="10" dataCellStyle="解释性文本"/>
    <tableColumn id="7" xr3:uid="{00000000-0010-0000-0100-000007000000}" name="属性_x000a_（下拉菜单）" dataDxfId="9" dataCellStyle="解释性文本"/>
    <tableColumn id="8" xr3:uid="{00000000-0010-0000-0100-000008000000}" name="工艺类别_x000a_（下拉菜单）" dataDxfId="8" dataCellStyle="解释性文本"/>
    <tableColumn id="9" xr3:uid="{00000000-0010-0000-0100-000009000000}" name="采购方式_x000a_（下拉菜单）" dataDxfId="7" dataCellStyle="解释性文本"/>
    <tableColumn id="14" xr3:uid="{00000000-0010-0000-0100-00000E000000}" name="规格/型号_x000a_(填写标准型号)_x000a_自制和定制件填自定义型号或不填" dataDxfId="6" dataCellStyle="解释性文本"/>
    <tableColumn id="16" xr3:uid="{00000000-0010-0000-0100-000010000000}" name="品牌_x000a_（自定义文本）_x000a_自制和定制件填自制和定制" dataDxfId="5" dataCellStyle="解释性文本"/>
    <tableColumn id="10" xr3:uid="{00000000-0010-0000-0100-00000A000000}" name="材料/尺寸/其他_x000a_（自定义文本）_x000a_没有可不填" dataDxfId="4" dataCellStyle="解释性文本"/>
    <tableColumn id="11" xr3:uid="{00000000-0010-0000-0100-00000B000000}" name="单价【含税】_x000a_自制件填写材料费_x000a_赞助写市场价" dataDxfId="3" dataCellStyle="解释性文本"/>
    <tableColumn id="12" xr3:uid="{00000000-0010-0000-0100-00000C000000}" name="父模块内该物料数量_x000a_（计算）" dataDxfId="2" dataCellStyle="解释性文本">
      <calculatedColumnFormula>D2*F2</calculatedColumnFormula>
    </tableColumn>
    <tableColumn id="13" xr3:uid="{00000000-0010-0000-0100-00000D000000}" name="父模块该物料总价_x000a_（计算）" dataDxfId="1" dataCellStyle="解释性文本">
      <calculatedColumnFormula>M2*N2</calculatedColumnFormula>
    </tableColumn>
    <tableColumn id="15" xr3:uid="{00000000-0010-0000-0100-00000F000000}" name="备注" dataDxfId="0" dataCellStyle="解释性文本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13" sqref="A13"/>
    </sheetView>
  </sheetViews>
  <sheetFormatPr defaultRowHeight="14.4" x14ac:dyDescent="0.25"/>
  <cols>
    <col min="1" max="1" width="72.88671875" customWidth="1"/>
  </cols>
  <sheetData>
    <row r="1" spans="1:2" ht="15.6" x14ac:dyDescent="0.25">
      <c r="A1" s="7" t="s">
        <v>121</v>
      </c>
      <c r="B1" s="1"/>
    </row>
    <row r="2" spans="1:2" ht="15.6" x14ac:dyDescent="0.25">
      <c r="A2" s="7" t="s">
        <v>122</v>
      </c>
      <c r="B2" s="1"/>
    </row>
    <row r="3" spans="1:2" ht="15.6" x14ac:dyDescent="0.25">
      <c r="A3" s="7" t="s">
        <v>117</v>
      </c>
      <c r="B3" s="1"/>
    </row>
    <row r="4" spans="1:2" ht="15.6" x14ac:dyDescent="0.25">
      <c r="A4" s="7"/>
      <c r="B4" s="1"/>
    </row>
    <row r="5" spans="1:2" ht="15.6" x14ac:dyDescent="0.35">
      <c r="A5" s="2" t="s">
        <v>123</v>
      </c>
      <c r="B5" s="8" t="s">
        <v>124</v>
      </c>
    </row>
    <row r="6" spans="1:2" ht="15.6" x14ac:dyDescent="0.35">
      <c r="A6" s="8" t="s">
        <v>118</v>
      </c>
      <c r="B6" s="8">
        <v>5</v>
      </c>
    </row>
    <row r="7" spans="1:2" ht="15.6" x14ac:dyDescent="0.35">
      <c r="A7" s="8" t="s">
        <v>119</v>
      </c>
      <c r="B7" s="8">
        <v>10</v>
      </c>
    </row>
    <row r="8" spans="1:2" ht="15.6" x14ac:dyDescent="0.35">
      <c r="A8" s="8" t="s">
        <v>120</v>
      </c>
      <c r="B8" s="8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F15" sqref="F15"/>
    </sheetView>
  </sheetViews>
  <sheetFormatPr defaultColWidth="9" defaultRowHeight="15.6" x14ac:dyDescent="0.25"/>
  <cols>
    <col min="1" max="1" width="30.6640625" style="2" customWidth="1"/>
    <col min="2" max="2" width="21.21875" style="2" customWidth="1"/>
    <col min="3" max="3" width="14.77734375" style="2" customWidth="1"/>
    <col min="4" max="16384" width="9" style="2"/>
  </cols>
  <sheetData>
    <row r="1" spans="1:3" x14ac:dyDescent="0.25">
      <c r="A1" s="6" t="s">
        <v>125</v>
      </c>
      <c r="B1" s="6" t="s">
        <v>4</v>
      </c>
      <c r="C1" s="6" t="s">
        <v>5</v>
      </c>
    </row>
    <row r="2" spans="1:3" x14ac:dyDescent="0.25">
      <c r="A2" s="2" t="s">
        <v>18</v>
      </c>
      <c r="B2" s="2">
        <f>SUMIF(表1[工艺类别
（下拉菜单）],表4[[#This Row],[工艺类别]],表1[父模块该物料总价
（计算）])</f>
        <v>4427.04</v>
      </c>
      <c r="C2" s="2">
        <f>SUM(表4[[#This Row],[步兵机器人]])</f>
        <v>4427.04</v>
      </c>
    </row>
    <row r="3" spans="1:3" x14ac:dyDescent="0.25">
      <c r="A3" s="2" t="s">
        <v>8</v>
      </c>
      <c r="B3" s="2">
        <f>SUMIF(表1[工艺类别
（下拉菜单）],表4[[#This Row],[工艺类别]],表1[父模块该物料总价
（计算）])</f>
        <v>0</v>
      </c>
      <c r="C3" s="2">
        <f>SUM(表4[[#This Row],[步兵机器人]])</f>
        <v>0</v>
      </c>
    </row>
    <row r="4" spans="1:3" x14ac:dyDescent="0.25">
      <c r="A4" s="2" t="s">
        <v>32</v>
      </c>
      <c r="B4" s="2">
        <f>SUMIF(表1[工艺类别
（下拉菜单）],表4[[#This Row],[工艺类别]],表1[父模块该物料总价
（计算）])</f>
        <v>10</v>
      </c>
      <c r="C4" s="2">
        <f>SUM(表4[[#This Row],[步兵机器人]])</f>
        <v>10</v>
      </c>
    </row>
    <row r="5" spans="1:3" x14ac:dyDescent="0.25">
      <c r="A5" s="2" t="s">
        <v>38</v>
      </c>
      <c r="B5" s="2">
        <f>SUMIF(表1[工艺类别
（下拉菜单）],表4[[#This Row],[工艺类别]],表1[父模块该物料总价
（计算）])</f>
        <v>253.60000000000002</v>
      </c>
      <c r="C5" s="2">
        <f>SUM(表4[[#This Row],[步兵机器人]])</f>
        <v>253.60000000000002</v>
      </c>
    </row>
    <row r="6" spans="1:3" x14ac:dyDescent="0.25">
      <c r="A6" s="2" t="s">
        <v>30</v>
      </c>
      <c r="B6" s="2">
        <f>SUMIF(表1[工艺类别
（下拉菜单）],表4[[#This Row],[工艺类别]],表1[父模块该物料总价
（计算）])</f>
        <v>390</v>
      </c>
      <c r="C6" s="2">
        <f>SUM(表4[[#This Row],[步兵机器人]])</f>
        <v>390</v>
      </c>
    </row>
    <row r="7" spans="1:3" x14ac:dyDescent="0.25">
      <c r="A7" s="2" t="s">
        <v>7</v>
      </c>
      <c r="B7" s="2">
        <f>SUMIF(表1[工艺类别
（下拉菜单）],表4[[#This Row],[工艺类别]],表1[父模块该物料总价
（计算）])</f>
        <v>108</v>
      </c>
      <c r="C7" s="2">
        <f>SUM(表4[[#This Row],[步兵机器人]])</f>
        <v>108</v>
      </c>
    </row>
    <row r="8" spans="1:3" x14ac:dyDescent="0.25">
      <c r="A8" s="2" t="s">
        <v>34</v>
      </c>
      <c r="B8" s="2">
        <f>SUMIF(表1[工艺类别
（下拉菜单）],表4[[#This Row],[工艺类别]],表1[父模块该物料总价
（计算）])</f>
        <v>2834.2400000000002</v>
      </c>
      <c r="C8" s="2">
        <f>SUM(表4[[#This Row],[步兵机器人]])</f>
        <v>2834.2400000000002</v>
      </c>
    </row>
    <row r="9" spans="1:3" x14ac:dyDescent="0.25">
      <c r="A9" s="2" t="s">
        <v>22</v>
      </c>
      <c r="B9" s="2">
        <f>SUMIF(表1[工艺类别
（下拉菜单）],表4[[#This Row],[工艺类别]],表1[父模块该物料总价
（计算）])</f>
        <v>15633.7</v>
      </c>
      <c r="C9" s="2">
        <f>SUM(表4[[#This Row],[步兵机器人]])</f>
        <v>15633.7</v>
      </c>
    </row>
    <row r="10" spans="1:3" x14ac:dyDescent="0.25">
      <c r="A10" s="2" t="s">
        <v>24</v>
      </c>
      <c r="B10" s="2">
        <f>SUMIF(表1[工艺类别
（下拉菜单）],表4[[#This Row],[工艺类别]],表1[父模块该物料总价
（计算）])</f>
        <v>17145</v>
      </c>
      <c r="C10" s="2">
        <f>SUM(表4[[#This Row],[步兵机器人]])</f>
        <v>17145</v>
      </c>
    </row>
    <row r="11" spans="1:3" x14ac:dyDescent="0.25">
      <c r="A11" s="2" t="s">
        <v>16</v>
      </c>
      <c r="B11" s="2">
        <f>SUMIF(表1[工艺类别
（下拉菜单）],表4[[#This Row],[工艺类别]],表1[父模块该物料总价
（计算）])</f>
        <v>2998.34</v>
      </c>
      <c r="C11" s="2">
        <f>SUM(表4[[#This Row],[步兵机器人]])</f>
        <v>2998.34</v>
      </c>
    </row>
    <row r="12" spans="1:3" x14ac:dyDescent="0.25">
      <c r="A12" s="5"/>
      <c r="B12" s="5"/>
      <c r="C12" s="5"/>
    </row>
    <row r="14" spans="1:3" x14ac:dyDescent="0.25">
      <c r="A14" s="2" t="s">
        <v>82</v>
      </c>
      <c r="B14" s="2">
        <f>SUM(B2:B10)</f>
        <v>40801.58</v>
      </c>
      <c r="C14" s="2">
        <f t="shared" ref="C14" si="0">SUM(C2:C10)</f>
        <v>40801.58</v>
      </c>
    </row>
    <row r="15" spans="1:3" x14ac:dyDescent="0.25">
      <c r="A15" s="2" t="s">
        <v>83</v>
      </c>
      <c r="B15" s="2">
        <f>SUMIF(表1[采购方式
（下拉菜单）],"赞助",表1[父模块该物料总价
（计算）])</f>
        <v>10797</v>
      </c>
      <c r="C15" s="2">
        <f>SUM(B15:B15)</f>
        <v>10797</v>
      </c>
    </row>
    <row r="16" spans="1:3" x14ac:dyDescent="0.25">
      <c r="A16" s="2" t="s">
        <v>84</v>
      </c>
      <c r="B16" s="2">
        <f>B14-B15</f>
        <v>30004.58</v>
      </c>
      <c r="C16" s="2">
        <f t="shared" ref="C16" si="1">C14-C15</f>
        <v>30004.58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53"/>
  <sheetViews>
    <sheetView tabSelected="1" topLeftCell="B1" zoomScale="70" zoomScaleNormal="70" workbookViewId="0">
      <pane ySplit="1" topLeftCell="A117" activePane="bottomLeft" state="frozen"/>
      <selection activeCell="E22" sqref="E22"/>
      <selection pane="bottomLeft" activeCell="F150" sqref="F150"/>
    </sheetView>
  </sheetViews>
  <sheetFormatPr defaultColWidth="23.109375" defaultRowHeight="14.4" x14ac:dyDescent="0.25"/>
  <cols>
    <col min="1" max="1" width="11.21875" style="14" bestFit="1" customWidth="1"/>
    <col min="2" max="2" width="22.77734375" style="14" customWidth="1"/>
    <col min="3" max="5" width="22.77734375" style="14" bestFit="1" customWidth="1"/>
    <col min="6" max="6" width="27.5546875" style="14" bestFit="1" customWidth="1"/>
    <col min="7" max="9" width="20.21875" style="14" bestFit="1" customWidth="1"/>
    <col min="10" max="11" width="27.5546875" style="14" bestFit="1" customWidth="1"/>
    <col min="12" max="12" width="40.33203125" style="14" bestFit="1" customWidth="1"/>
    <col min="13" max="13" width="25.21875" style="14" bestFit="1" customWidth="1"/>
    <col min="14" max="14" width="27.5546875" style="16" bestFit="1" customWidth="1"/>
    <col min="15" max="15" width="25.21875" style="14" bestFit="1" customWidth="1"/>
    <col min="16" max="16" width="11.21875" style="14" bestFit="1" customWidth="1"/>
    <col min="17" max="17" width="23.109375" style="14"/>
    <col min="18" max="18" width="1.88671875" style="14" bestFit="1" customWidth="1"/>
    <col min="19" max="16384" width="23.109375" style="14"/>
  </cols>
  <sheetData>
    <row r="1" spans="1:16" ht="57.6" x14ac:dyDescent="0.25">
      <c r="A1" s="9" t="s">
        <v>37</v>
      </c>
      <c r="B1" s="9" t="s">
        <v>114</v>
      </c>
      <c r="C1" s="9" t="s">
        <v>115</v>
      </c>
      <c r="D1" s="9" t="s">
        <v>53</v>
      </c>
      <c r="E1" s="9" t="s">
        <v>85</v>
      </c>
      <c r="F1" s="10" t="s">
        <v>113</v>
      </c>
      <c r="G1" s="9" t="s">
        <v>54</v>
      </c>
      <c r="H1" s="9" t="s">
        <v>51</v>
      </c>
      <c r="I1" s="9" t="s">
        <v>52</v>
      </c>
      <c r="J1" s="9" t="s">
        <v>87</v>
      </c>
      <c r="K1" s="9" t="s">
        <v>94</v>
      </c>
      <c r="L1" s="9" t="s">
        <v>116</v>
      </c>
      <c r="M1" s="11" t="s">
        <v>86</v>
      </c>
      <c r="N1" s="12" t="s">
        <v>80</v>
      </c>
      <c r="O1" s="12" t="s">
        <v>81</v>
      </c>
      <c r="P1" s="9" t="s">
        <v>36</v>
      </c>
    </row>
    <row r="2" spans="1:16" s="13" customFormat="1" x14ac:dyDescent="0.25">
      <c r="A2" s="13">
        <v>111</v>
      </c>
      <c r="B2" s="13" t="s">
        <v>64</v>
      </c>
      <c r="C2" s="13" t="s">
        <v>44</v>
      </c>
      <c r="D2" s="13">
        <v>2</v>
      </c>
      <c r="E2" s="13" t="s">
        <v>276</v>
      </c>
      <c r="F2" s="15">
        <v>2</v>
      </c>
      <c r="G2" s="13" t="s">
        <v>16</v>
      </c>
      <c r="H2" s="13" t="s">
        <v>22</v>
      </c>
      <c r="I2" s="13" t="s">
        <v>78</v>
      </c>
      <c r="K2" s="13" t="s">
        <v>275</v>
      </c>
      <c r="L2" s="13" t="s">
        <v>276</v>
      </c>
      <c r="M2" s="13">
        <v>65</v>
      </c>
      <c r="N2" s="13">
        <v>2</v>
      </c>
      <c r="O2" s="13">
        <f>M2*N2</f>
        <v>130</v>
      </c>
    </row>
    <row r="3" spans="1:16" s="13" customFormat="1" x14ac:dyDescent="0.25">
      <c r="A3" s="13">
        <v>8</v>
      </c>
      <c r="B3" s="13" t="s">
        <v>48</v>
      </c>
      <c r="C3" s="13" t="s">
        <v>44</v>
      </c>
      <c r="D3" s="13">
        <v>1</v>
      </c>
      <c r="E3" s="13" t="s">
        <v>91</v>
      </c>
      <c r="F3" s="15">
        <v>1</v>
      </c>
      <c r="G3" s="13" t="s">
        <v>10</v>
      </c>
      <c r="H3" s="13" t="s">
        <v>24</v>
      </c>
      <c r="I3" s="13" t="s">
        <v>78</v>
      </c>
      <c r="J3" s="13" t="s">
        <v>101</v>
      </c>
      <c r="K3" s="13" t="s">
        <v>90</v>
      </c>
      <c r="L3" s="13" t="s">
        <v>41</v>
      </c>
      <c r="M3" s="13">
        <v>299</v>
      </c>
      <c r="N3" s="13">
        <f>D3*F3</f>
        <v>1</v>
      </c>
      <c r="O3" s="13">
        <f>M3*N3</f>
        <v>299</v>
      </c>
    </row>
    <row r="4" spans="1:16" s="13" customFormat="1" x14ac:dyDescent="0.25">
      <c r="A4" s="13">
        <v>80</v>
      </c>
      <c r="B4" s="13" t="s">
        <v>64</v>
      </c>
      <c r="C4" s="13" t="s">
        <v>63</v>
      </c>
      <c r="D4" s="13">
        <v>1</v>
      </c>
      <c r="E4" s="13" t="s">
        <v>370</v>
      </c>
      <c r="F4" s="15">
        <v>1</v>
      </c>
      <c r="G4" s="13" t="s">
        <v>9</v>
      </c>
      <c r="H4" s="13" t="s">
        <v>24</v>
      </c>
      <c r="I4" s="13" t="s">
        <v>78</v>
      </c>
      <c r="J4" s="13" t="s">
        <v>347</v>
      </c>
      <c r="K4" s="13" t="s">
        <v>90</v>
      </c>
      <c r="L4" s="13" t="s">
        <v>234</v>
      </c>
      <c r="M4" s="13">
        <v>369</v>
      </c>
      <c r="N4" s="13">
        <v>2</v>
      </c>
      <c r="O4" s="13">
        <v>738</v>
      </c>
    </row>
    <row r="5" spans="1:16" s="13" customFormat="1" x14ac:dyDescent="0.25">
      <c r="A5" s="13">
        <v>7</v>
      </c>
      <c r="B5" s="13" t="s">
        <v>48</v>
      </c>
      <c r="C5" s="13" t="s">
        <v>44</v>
      </c>
      <c r="D5" s="13">
        <v>1</v>
      </c>
      <c r="E5" s="13" t="s">
        <v>99</v>
      </c>
      <c r="F5" s="15">
        <v>1</v>
      </c>
      <c r="G5" s="13" t="s">
        <v>10</v>
      </c>
      <c r="H5" s="13" t="s">
        <v>34</v>
      </c>
      <c r="I5" s="13" t="s">
        <v>78</v>
      </c>
      <c r="J5" s="13" t="s">
        <v>100</v>
      </c>
      <c r="K5" s="13" t="s">
        <v>98</v>
      </c>
      <c r="L5" s="13" t="s">
        <v>46</v>
      </c>
      <c r="M5" s="13">
        <v>0.2</v>
      </c>
      <c r="N5" s="13">
        <f>D5*F5</f>
        <v>1</v>
      </c>
      <c r="O5" s="13">
        <f t="shared" ref="O5:O10" si="0">M5*N5</f>
        <v>0.2</v>
      </c>
    </row>
    <row r="6" spans="1:16" s="13" customFormat="1" x14ac:dyDescent="0.25">
      <c r="A6" s="13">
        <v>73</v>
      </c>
      <c r="B6" s="13" t="s">
        <v>64</v>
      </c>
      <c r="C6" s="13" t="s">
        <v>63</v>
      </c>
      <c r="D6" s="13">
        <v>1</v>
      </c>
      <c r="E6" s="13" t="s">
        <v>67</v>
      </c>
      <c r="F6" s="15">
        <v>1</v>
      </c>
      <c r="G6" s="13" t="s">
        <v>334</v>
      </c>
      <c r="H6" s="13" t="s">
        <v>22</v>
      </c>
      <c r="I6" s="13" t="s">
        <v>20</v>
      </c>
      <c r="J6" s="13" t="s">
        <v>103</v>
      </c>
      <c r="K6" s="13" t="s">
        <v>102</v>
      </c>
      <c r="L6" s="13" t="s">
        <v>104</v>
      </c>
      <c r="M6" s="13">
        <v>7599</v>
      </c>
      <c r="N6" s="13">
        <f>D6*F6</f>
        <v>1</v>
      </c>
      <c r="O6" s="13">
        <f t="shared" si="0"/>
        <v>7599</v>
      </c>
    </row>
    <row r="7" spans="1:16" s="13" customFormat="1" x14ac:dyDescent="0.25">
      <c r="A7" s="13">
        <v>147</v>
      </c>
      <c r="B7" s="13" t="s">
        <v>62</v>
      </c>
      <c r="C7" s="13" t="s">
        <v>402</v>
      </c>
      <c r="D7" s="13">
        <v>20</v>
      </c>
      <c r="E7" s="13" t="s">
        <v>365</v>
      </c>
      <c r="F7" s="15">
        <v>24</v>
      </c>
      <c r="G7" s="13" t="s">
        <v>16</v>
      </c>
      <c r="H7" s="13" t="s">
        <v>38</v>
      </c>
      <c r="I7" s="13" t="s">
        <v>78</v>
      </c>
      <c r="K7" s="13" t="s">
        <v>316</v>
      </c>
      <c r="L7" s="13" t="s">
        <v>317</v>
      </c>
      <c r="M7" s="13">
        <v>198</v>
      </c>
      <c r="N7" s="13">
        <v>1</v>
      </c>
      <c r="O7" s="13">
        <f t="shared" si="0"/>
        <v>198</v>
      </c>
    </row>
    <row r="8" spans="1:16" s="13" customFormat="1" x14ac:dyDescent="0.25">
      <c r="A8" s="13">
        <v>75</v>
      </c>
      <c r="B8" s="13" t="s">
        <v>6</v>
      </c>
      <c r="C8" s="13" t="s">
        <v>75</v>
      </c>
      <c r="D8" s="13">
        <v>1</v>
      </c>
      <c r="E8" s="13" t="s">
        <v>66</v>
      </c>
      <c r="F8" s="15">
        <v>1</v>
      </c>
      <c r="G8" s="13" t="s">
        <v>9</v>
      </c>
      <c r="H8" s="13" t="s">
        <v>24</v>
      </c>
      <c r="I8" s="13" t="s">
        <v>78</v>
      </c>
      <c r="J8" s="13" t="s">
        <v>112</v>
      </c>
      <c r="K8" s="13" t="s">
        <v>93</v>
      </c>
      <c r="L8" s="13" t="s">
        <v>65</v>
      </c>
      <c r="M8" s="13">
        <v>499</v>
      </c>
      <c r="N8" s="13">
        <f>D8*F8</f>
        <v>1</v>
      </c>
      <c r="O8" s="13">
        <f t="shared" si="0"/>
        <v>499</v>
      </c>
    </row>
    <row r="9" spans="1:16" s="13" customFormat="1" x14ac:dyDescent="0.25">
      <c r="A9" s="13">
        <v>123</v>
      </c>
      <c r="B9" s="13" t="s">
        <v>398</v>
      </c>
      <c r="C9" s="13" t="s">
        <v>2</v>
      </c>
      <c r="D9" s="13">
        <v>8</v>
      </c>
      <c r="E9" s="13" t="s">
        <v>392</v>
      </c>
      <c r="F9" s="15">
        <v>8</v>
      </c>
      <c r="G9" s="13" t="s">
        <v>16</v>
      </c>
      <c r="H9" s="13" t="s">
        <v>16</v>
      </c>
      <c r="I9" s="13" t="s">
        <v>78</v>
      </c>
      <c r="K9" s="13" t="s">
        <v>300</v>
      </c>
      <c r="L9" s="13" t="s">
        <v>302</v>
      </c>
      <c r="M9" s="13">
        <v>4.99</v>
      </c>
      <c r="N9" s="13">
        <v>8</v>
      </c>
      <c r="O9" s="13">
        <f t="shared" si="0"/>
        <v>39.92</v>
      </c>
    </row>
    <row r="10" spans="1:16" s="13" customFormat="1" x14ac:dyDescent="0.25">
      <c r="A10" s="13">
        <v>124</v>
      </c>
      <c r="B10" s="13" t="s">
        <v>398</v>
      </c>
      <c r="C10" s="13" t="s">
        <v>2</v>
      </c>
      <c r="D10" s="13">
        <v>2</v>
      </c>
      <c r="E10" s="13" t="s">
        <v>392</v>
      </c>
      <c r="F10" s="15">
        <v>2</v>
      </c>
      <c r="G10" s="13" t="s">
        <v>16</v>
      </c>
      <c r="H10" s="13" t="s">
        <v>16</v>
      </c>
      <c r="I10" s="13" t="s">
        <v>78</v>
      </c>
      <c r="K10" s="13" t="s">
        <v>300</v>
      </c>
      <c r="L10" s="13" t="s">
        <v>301</v>
      </c>
      <c r="M10" s="13">
        <v>7.31</v>
      </c>
      <c r="N10" s="13">
        <v>2</v>
      </c>
      <c r="O10" s="13">
        <f t="shared" si="0"/>
        <v>14.62</v>
      </c>
    </row>
    <row r="11" spans="1:16" s="13" customFormat="1" x14ac:dyDescent="0.25">
      <c r="A11" s="13">
        <v>31</v>
      </c>
      <c r="B11" s="13" t="s">
        <v>62</v>
      </c>
      <c r="C11" s="13" t="s">
        <v>401</v>
      </c>
      <c r="D11" s="13">
        <v>4</v>
      </c>
      <c r="E11" s="13" t="s">
        <v>360</v>
      </c>
      <c r="F11" s="15">
        <v>4</v>
      </c>
      <c r="G11" s="13" t="s">
        <v>10</v>
      </c>
      <c r="H11" s="13" t="s">
        <v>34</v>
      </c>
      <c r="I11" s="13" t="s">
        <v>76</v>
      </c>
      <c r="K11" s="13" t="s">
        <v>89</v>
      </c>
      <c r="L11" s="13" t="s">
        <v>146</v>
      </c>
      <c r="M11" s="13">
        <v>100.89</v>
      </c>
      <c r="N11" s="13">
        <v>1</v>
      </c>
      <c r="O11" s="17">
        <v>100.89</v>
      </c>
      <c r="P11" s="17"/>
    </row>
    <row r="12" spans="1:16" s="13" customFormat="1" x14ac:dyDescent="0.25">
      <c r="A12" s="13">
        <v>32</v>
      </c>
      <c r="B12" s="13" t="s">
        <v>62</v>
      </c>
      <c r="C12" s="13" t="s">
        <v>401</v>
      </c>
      <c r="D12" s="13">
        <v>4</v>
      </c>
      <c r="E12" s="13" t="s">
        <v>360</v>
      </c>
      <c r="F12" s="15">
        <v>4</v>
      </c>
      <c r="G12" s="13" t="s">
        <v>10</v>
      </c>
      <c r="H12" s="13" t="s">
        <v>34</v>
      </c>
      <c r="I12" s="13" t="s">
        <v>76</v>
      </c>
      <c r="K12" s="13" t="s">
        <v>89</v>
      </c>
      <c r="L12" s="13" t="s">
        <v>147</v>
      </c>
      <c r="M12" s="13">
        <v>135.09</v>
      </c>
      <c r="N12" s="13">
        <v>1</v>
      </c>
      <c r="O12" s="17">
        <v>135.09</v>
      </c>
      <c r="P12" s="17"/>
    </row>
    <row r="13" spans="1:16" s="13" customFormat="1" x14ac:dyDescent="0.25">
      <c r="A13" s="13">
        <v>132</v>
      </c>
      <c r="B13" s="13" t="s">
        <v>64</v>
      </c>
      <c r="C13" s="13" t="s">
        <v>49</v>
      </c>
      <c r="D13" s="13">
        <v>1</v>
      </c>
      <c r="E13" s="13" t="s">
        <v>395</v>
      </c>
      <c r="F13" s="15">
        <v>1</v>
      </c>
      <c r="G13" s="13" t="s">
        <v>16</v>
      </c>
      <c r="H13" s="13" t="s">
        <v>16</v>
      </c>
      <c r="I13" s="13" t="s">
        <v>78</v>
      </c>
      <c r="K13" s="13" t="s">
        <v>331</v>
      </c>
      <c r="L13" s="13" t="s">
        <v>295</v>
      </c>
      <c r="M13" s="13">
        <v>30</v>
      </c>
      <c r="N13" s="13">
        <v>1</v>
      </c>
      <c r="O13" s="13">
        <f>M13*N13</f>
        <v>30</v>
      </c>
    </row>
    <row r="14" spans="1:16" s="13" customFormat="1" x14ac:dyDescent="0.25">
      <c r="A14" s="13">
        <v>134</v>
      </c>
      <c r="B14" s="13" t="s">
        <v>64</v>
      </c>
      <c r="C14" s="13" t="s">
        <v>49</v>
      </c>
      <c r="D14" s="13">
        <v>2</v>
      </c>
      <c r="E14" s="13" t="s">
        <v>395</v>
      </c>
      <c r="F14" s="15">
        <v>2</v>
      </c>
      <c r="G14" s="13" t="s">
        <v>16</v>
      </c>
      <c r="H14" s="13" t="s">
        <v>16</v>
      </c>
      <c r="I14" s="13" t="s">
        <v>78</v>
      </c>
      <c r="K14" s="13" t="s">
        <v>331</v>
      </c>
      <c r="L14" s="13" t="s">
        <v>294</v>
      </c>
      <c r="M14" s="13">
        <v>3.5</v>
      </c>
      <c r="N14" s="13">
        <v>2</v>
      </c>
      <c r="O14" s="13">
        <f>M14*N14</f>
        <v>7</v>
      </c>
    </row>
    <row r="15" spans="1:16" s="13" customFormat="1" x14ac:dyDescent="0.25">
      <c r="A15" s="13">
        <v>126</v>
      </c>
      <c r="B15" s="13" t="s">
        <v>64</v>
      </c>
      <c r="C15" s="13" t="s">
        <v>63</v>
      </c>
      <c r="D15" s="13">
        <v>1</v>
      </c>
      <c r="E15" s="13" t="s">
        <v>393</v>
      </c>
      <c r="F15" s="15">
        <v>1</v>
      </c>
      <c r="G15" s="13" t="s">
        <v>332</v>
      </c>
      <c r="H15" s="13" t="s">
        <v>22</v>
      </c>
      <c r="I15" s="13" t="s">
        <v>78</v>
      </c>
      <c r="K15" s="13" t="s">
        <v>329</v>
      </c>
      <c r="L15" s="13" t="s">
        <v>288</v>
      </c>
      <c r="M15" s="13">
        <v>299</v>
      </c>
      <c r="N15" s="13">
        <v>2</v>
      </c>
      <c r="O15" s="13">
        <f>M15*N15</f>
        <v>598</v>
      </c>
    </row>
    <row r="16" spans="1:16" s="13" customFormat="1" x14ac:dyDescent="0.25">
      <c r="A16" s="13">
        <v>127</v>
      </c>
      <c r="B16" s="13" t="s">
        <v>64</v>
      </c>
      <c r="C16" s="13" t="s">
        <v>63</v>
      </c>
      <c r="D16" s="13">
        <v>1</v>
      </c>
      <c r="E16" s="13" t="s">
        <v>393</v>
      </c>
      <c r="F16" s="15">
        <v>1</v>
      </c>
      <c r="G16" s="13" t="s">
        <v>332</v>
      </c>
      <c r="H16" s="13" t="s">
        <v>22</v>
      </c>
      <c r="I16" s="13" t="s">
        <v>78</v>
      </c>
      <c r="K16" s="13" t="s">
        <v>329</v>
      </c>
      <c r="L16" s="13" t="s">
        <v>289</v>
      </c>
      <c r="M16" s="13">
        <v>699</v>
      </c>
      <c r="N16" s="13">
        <v>2</v>
      </c>
      <c r="O16" s="13">
        <f>M16*N16</f>
        <v>1398</v>
      </c>
    </row>
    <row r="17" spans="1:16" s="13" customFormat="1" x14ac:dyDescent="0.25">
      <c r="A17" s="13">
        <v>128</v>
      </c>
      <c r="B17" s="13" t="s">
        <v>64</v>
      </c>
      <c r="C17" s="13" t="s">
        <v>63</v>
      </c>
      <c r="D17" s="13">
        <v>1</v>
      </c>
      <c r="E17" s="13" t="s">
        <v>393</v>
      </c>
      <c r="F17" s="15">
        <v>1</v>
      </c>
      <c r="G17" s="13" t="s">
        <v>332</v>
      </c>
      <c r="H17" s="13" t="s">
        <v>22</v>
      </c>
      <c r="I17" s="13" t="s">
        <v>78</v>
      </c>
      <c r="K17" s="13" t="s">
        <v>329</v>
      </c>
      <c r="L17" s="13" t="s">
        <v>290</v>
      </c>
      <c r="M17" s="13">
        <v>549</v>
      </c>
      <c r="N17" s="13">
        <v>1</v>
      </c>
      <c r="O17" s="13">
        <f>M17*N17</f>
        <v>549</v>
      </c>
    </row>
    <row r="18" spans="1:16" s="13" customFormat="1" x14ac:dyDescent="0.25">
      <c r="A18" s="13">
        <v>26</v>
      </c>
      <c r="B18" s="13" t="s">
        <v>62</v>
      </c>
      <c r="C18" s="13" t="s">
        <v>402</v>
      </c>
      <c r="D18" s="13">
        <v>1</v>
      </c>
      <c r="E18" s="13" t="s">
        <v>356</v>
      </c>
      <c r="F18" s="15">
        <v>1</v>
      </c>
      <c r="G18" s="13" t="s">
        <v>10</v>
      </c>
      <c r="H18" s="13" t="s">
        <v>60</v>
      </c>
      <c r="I18" s="13" t="s">
        <v>76</v>
      </c>
      <c r="K18" s="13" t="s">
        <v>89</v>
      </c>
      <c r="L18" s="13" t="s">
        <v>141</v>
      </c>
      <c r="M18" s="13">
        <v>1</v>
      </c>
      <c r="N18" s="13">
        <v>1820</v>
      </c>
      <c r="O18" s="17">
        <v>1820</v>
      </c>
      <c r="P18" s="17"/>
    </row>
    <row r="19" spans="1:16" s="13" customFormat="1" x14ac:dyDescent="0.25">
      <c r="A19" s="13">
        <v>76</v>
      </c>
      <c r="B19" s="13" t="s">
        <v>48</v>
      </c>
      <c r="C19" s="13" t="s">
        <v>47</v>
      </c>
      <c r="D19" s="13">
        <v>1</v>
      </c>
      <c r="E19" s="13" t="s">
        <v>69</v>
      </c>
      <c r="F19" s="15">
        <v>1</v>
      </c>
      <c r="G19" s="13" t="s">
        <v>9</v>
      </c>
      <c r="H19" s="13" t="s">
        <v>22</v>
      </c>
      <c r="I19" s="13" t="s">
        <v>78</v>
      </c>
      <c r="J19" s="13" t="s">
        <v>105</v>
      </c>
      <c r="K19" s="13" t="s">
        <v>97</v>
      </c>
      <c r="L19" s="13" t="s">
        <v>106</v>
      </c>
      <c r="M19" s="13">
        <v>12</v>
      </c>
      <c r="N19" s="13">
        <f>D19*F19</f>
        <v>1</v>
      </c>
      <c r="O19" s="13">
        <f>M19*N19</f>
        <v>12</v>
      </c>
    </row>
    <row r="20" spans="1:16" s="13" customFormat="1" x14ac:dyDescent="0.25">
      <c r="A20" s="13">
        <v>118</v>
      </c>
      <c r="B20" s="13" t="s">
        <v>64</v>
      </c>
      <c r="C20" s="13" t="s">
        <v>71</v>
      </c>
      <c r="D20" s="13">
        <v>5</v>
      </c>
      <c r="E20" s="13" t="s">
        <v>71</v>
      </c>
      <c r="F20" s="15">
        <v>5</v>
      </c>
      <c r="G20" s="13" t="s">
        <v>332</v>
      </c>
      <c r="H20" s="13" t="s">
        <v>22</v>
      </c>
      <c r="I20" s="13" t="s">
        <v>78</v>
      </c>
      <c r="K20" s="13" t="s">
        <v>283</v>
      </c>
      <c r="L20" s="13" t="s">
        <v>284</v>
      </c>
      <c r="M20" s="13">
        <v>51.14</v>
      </c>
      <c r="N20" s="13">
        <v>5</v>
      </c>
      <c r="O20" s="13">
        <f>M20*N20</f>
        <v>255.7</v>
      </c>
    </row>
    <row r="21" spans="1:16" s="13" customFormat="1" x14ac:dyDescent="0.25">
      <c r="A21" s="13">
        <v>36</v>
      </c>
      <c r="B21" s="13" t="s">
        <v>62</v>
      </c>
      <c r="C21" s="13" t="s">
        <v>401</v>
      </c>
      <c r="D21" s="13">
        <v>1</v>
      </c>
      <c r="E21" s="13" t="s">
        <v>363</v>
      </c>
      <c r="F21" s="15">
        <v>1</v>
      </c>
      <c r="G21" s="13" t="s">
        <v>10</v>
      </c>
      <c r="H21" s="13" t="s">
        <v>60</v>
      </c>
      <c r="I21" s="13" t="s">
        <v>78</v>
      </c>
      <c r="K21" s="13" t="s">
        <v>194</v>
      </c>
      <c r="L21" s="19" t="s">
        <v>158</v>
      </c>
      <c r="M21" s="19">
        <v>7</v>
      </c>
      <c r="N21" s="19">
        <v>1</v>
      </c>
      <c r="O21" s="19">
        <v>7</v>
      </c>
    </row>
    <row r="22" spans="1:16" s="13" customFormat="1" x14ac:dyDescent="0.25">
      <c r="A22" s="13">
        <v>37</v>
      </c>
      <c r="B22" s="13" t="s">
        <v>62</v>
      </c>
      <c r="C22" s="13" t="s">
        <v>401</v>
      </c>
      <c r="D22" s="13">
        <v>1</v>
      </c>
      <c r="E22" s="13" t="s">
        <v>363</v>
      </c>
      <c r="F22" s="15">
        <v>1</v>
      </c>
      <c r="G22" s="13" t="s">
        <v>10</v>
      </c>
      <c r="H22" s="13" t="s">
        <v>60</v>
      </c>
      <c r="I22" s="13" t="s">
        <v>78</v>
      </c>
      <c r="K22" s="13" t="s">
        <v>194</v>
      </c>
      <c r="L22" s="19" t="s">
        <v>159</v>
      </c>
      <c r="M22" s="19">
        <v>7.5</v>
      </c>
      <c r="N22" s="19">
        <v>1</v>
      </c>
      <c r="O22" s="19">
        <v>7.5</v>
      </c>
    </row>
    <row r="23" spans="1:16" s="13" customFormat="1" x14ac:dyDescent="0.25">
      <c r="A23" s="13">
        <v>38</v>
      </c>
      <c r="B23" s="13" t="s">
        <v>62</v>
      </c>
      <c r="C23" s="13" t="s">
        <v>401</v>
      </c>
      <c r="D23" s="13">
        <v>1</v>
      </c>
      <c r="E23" s="13" t="s">
        <v>363</v>
      </c>
      <c r="F23" s="15">
        <v>1</v>
      </c>
      <c r="G23" s="13" t="s">
        <v>10</v>
      </c>
      <c r="H23" s="13" t="s">
        <v>60</v>
      </c>
      <c r="I23" s="13" t="s">
        <v>78</v>
      </c>
      <c r="K23" s="13" t="s">
        <v>194</v>
      </c>
      <c r="L23" s="19" t="s">
        <v>160</v>
      </c>
      <c r="M23" s="19">
        <v>7.2</v>
      </c>
      <c r="N23" s="19">
        <v>1</v>
      </c>
      <c r="O23" s="19">
        <v>7.2</v>
      </c>
    </row>
    <row r="24" spans="1:16" s="13" customFormat="1" x14ac:dyDescent="0.25">
      <c r="A24" s="13">
        <v>23</v>
      </c>
      <c r="B24" s="13" t="s">
        <v>48</v>
      </c>
      <c r="C24" s="13" t="s">
        <v>44</v>
      </c>
      <c r="D24" s="13">
        <v>1</v>
      </c>
      <c r="E24" s="13" t="s">
        <v>354</v>
      </c>
      <c r="F24" s="15">
        <v>1</v>
      </c>
      <c r="G24" s="13" t="s">
        <v>10</v>
      </c>
      <c r="H24" s="13" t="s">
        <v>60</v>
      </c>
      <c r="I24" s="13" t="s">
        <v>76</v>
      </c>
      <c r="K24" s="13" t="s">
        <v>89</v>
      </c>
      <c r="L24" s="13" t="s">
        <v>138</v>
      </c>
      <c r="M24" s="13">
        <v>192</v>
      </c>
      <c r="N24" s="13">
        <v>1</v>
      </c>
      <c r="O24" s="17">
        <v>204</v>
      </c>
      <c r="P24" s="18" t="s">
        <v>152</v>
      </c>
    </row>
    <row r="25" spans="1:16" s="13" customFormat="1" x14ac:dyDescent="0.25">
      <c r="A25" s="13">
        <v>78</v>
      </c>
      <c r="B25" s="13" t="s">
        <v>62</v>
      </c>
      <c r="C25" s="13" t="s">
        <v>49</v>
      </c>
      <c r="D25" s="13">
        <v>2</v>
      </c>
      <c r="E25" s="13" t="s">
        <v>368</v>
      </c>
      <c r="F25" s="15">
        <v>2</v>
      </c>
      <c r="G25" s="13" t="s">
        <v>9</v>
      </c>
      <c r="H25" s="13" t="s">
        <v>24</v>
      </c>
      <c r="I25" s="13" t="s">
        <v>78</v>
      </c>
      <c r="K25" s="13" t="s">
        <v>90</v>
      </c>
      <c r="L25" s="13" t="s">
        <v>232</v>
      </c>
      <c r="M25" s="13">
        <v>1399</v>
      </c>
      <c r="N25" s="13">
        <v>2</v>
      </c>
      <c r="O25" s="13">
        <v>2789</v>
      </c>
    </row>
    <row r="26" spans="1:16" s="13" customFormat="1" x14ac:dyDescent="0.25">
      <c r="A26" s="13">
        <v>83</v>
      </c>
      <c r="B26" s="13" t="s">
        <v>62</v>
      </c>
      <c r="C26" s="13" t="s">
        <v>49</v>
      </c>
      <c r="D26" s="13">
        <v>1</v>
      </c>
      <c r="E26" s="13" t="s">
        <v>372</v>
      </c>
      <c r="F26" s="15">
        <v>1</v>
      </c>
      <c r="G26" s="13" t="s">
        <v>9</v>
      </c>
      <c r="H26" s="13" t="s">
        <v>24</v>
      </c>
      <c r="I26" s="13" t="s">
        <v>78</v>
      </c>
      <c r="K26" s="13" t="s">
        <v>90</v>
      </c>
      <c r="L26" s="13" t="s">
        <v>237</v>
      </c>
      <c r="M26" s="13">
        <v>199</v>
      </c>
      <c r="N26" s="13">
        <v>1</v>
      </c>
      <c r="O26" s="13">
        <v>199</v>
      </c>
    </row>
    <row r="27" spans="1:16" s="13" customFormat="1" x14ac:dyDescent="0.25">
      <c r="A27" s="13">
        <v>79</v>
      </c>
      <c r="B27" s="13" t="s">
        <v>48</v>
      </c>
      <c r="C27" s="13" t="s">
        <v>44</v>
      </c>
      <c r="D27" s="13">
        <v>4</v>
      </c>
      <c r="E27" s="13" t="s">
        <v>369</v>
      </c>
      <c r="F27" s="15">
        <v>4</v>
      </c>
      <c r="G27" s="13" t="s">
        <v>9</v>
      </c>
      <c r="H27" s="13" t="s">
        <v>24</v>
      </c>
      <c r="I27" s="13" t="s">
        <v>78</v>
      </c>
      <c r="K27" s="13" t="s">
        <v>90</v>
      </c>
      <c r="L27" s="13" t="s">
        <v>233</v>
      </c>
      <c r="M27" s="13">
        <v>109</v>
      </c>
      <c r="N27" s="13">
        <v>4</v>
      </c>
      <c r="O27" s="13">
        <v>436</v>
      </c>
    </row>
    <row r="28" spans="1:16" s="13" customFormat="1" x14ac:dyDescent="0.25">
      <c r="A28" s="13">
        <v>85</v>
      </c>
      <c r="B28" s="13" t="s">
        <v>64</v>
      </c>
      <c r="C28" s="13" t="s">
        <v>401</v>
      </c>
      <c r="D28" s="13">
        <v>4</v>
      </c>
      <c r="E28" s="13" t="s">
        <v>369</v>
      </c>
      <c r="F28" s="15">
        <v>4</v>
      </c>
      <c r="G28" s="13" t="s">
        <v>9</v>
      </c>
      <c r="H28" s="13" t="s">
        <v>24</v>
      </c>
      <c r="I28" s="13" t="s">
        <v>78</v>
      </c>
      <c r="K28" s="13" t="s">
        <v>90</v>
      </c>
      <c r="L28" s="13" t="s">
        <v>239</v>
      </c>
      <c r="M28" s="13">
        <v>899</v>
      </c>
      <c r="N28" s="13">
        <v>4</v>
      </c>
      <c r="O28" s="13">
        <v>3596</v>
      </c>
    </row>
    <row r="29" spans="1:16" s="13" customFormat="1" x14ac:dyDescent="0.25">
      <c r="A29" s="13">
        <v>88</v>
      </c>
      <c r="B29" s="13" t="s">
        <v>64</v>
      </c>
      <c r="C29" s="13" t="s">
        <v>44</v>
      </c>
      <c r="D29" s="13">
        <v>6</v>
      </c>
      <c r="E29" s="13" t="s">
        <v>369</v>
      </c>
      <c r="F29" s="15">
        <v>6</v>
      </c>
      <c r="G29" s="13" t="s">
        <v>9</v>
      </c>
      <c r="H29" s="13" t="s">
        <v>24</v>
      </c>
      <c r="I29" s="13" t="s">
        <v>78</v>
      </c>
      <c r="K29" s="13" t="s">
        <v>90</v>
      </c>
      <c r="L29" s="19" t="s">
        <v>242</v>
      </c>
      <c r="M29" s="19">
        <v>499</v>
      </c>
      <c r="N29" s="19">
        <v>6</v>
      </c>
      <c r="O29" s="19">
        <v>2994</v>
      </c>
    </row>
    <row r="30" spans="1:16" s="13" customFormat="1" x14ac:dyDescent="0.25">
      <c r="A30" s="13">
        <v>89</v>
      </c>
      <c r="B30" s="13" t="s">
        <v>62</v>
      </c>
      <c r="C30" s="13" t="s">
        <v>44</v>
      </c>
      <c r="D30" s="13">
        <v>6</v>
      </c>
      <c r="E30" s="13" t="s">
        <v>375</v>
      </c>
      <c r="F30" s="15">
        <v>6</v>
      </c>
      <c r="G30" s="13" t="s">
        <v>9</v>
      </c>
      <c r="H30" s="13" t="s">
        <v>24</v>
      </c>
      <c r="I30" s="13" t="s">
        <v>78</v>
      </c>
      <c r="K30" s="13" t="s">
        <v>90</v>
      </c>
      <c r="L30" s="19" t="s">
        <v>243</v>
      </c>
      <c r="M30" s="19">
        <v>399</v>
      </c>
      <c r="N30" s="19">
        <v>6</v>
      </c>
      <c r="O30" s="19">
        <v>2349</v>
      </c>
    </row>
    <row r="31" spans="1:16" s="13" customFormat="1" x14ac:dyDescent="0.25">
      <c r="A31" s="13">
        <v>90</v>
      </c>
      <c r="B31" s="13" t="s">
        <v>62</v>
      </c>
      <c r="C31" s="13" t="s">
        <v>44</v>
      </c>
      <c r="D31" s="13">
        <v>2</v>
      </c>
      <c r="E31" s="13" t="s">
        <v>375</v>
      </c>
      <c r="F31" s="15">
        <v>2</v>
      </c>
      <c r="G31" s="13" t="s">
        <v>9</v>
      </c>
      <c r="H31" s="13" t="s">
        <v>24</v>
      </c>
      <c r="I31" s="13" t="s">
        <v>78</v>
      </c>
      <c r="K31" s="13" t="s">
        <v>90</v>
      </c>
      <c r="L31" s="19" t="s">
        <v>244</v>
      </c>
      <c r="M31" s="19">
        <v>159</v>
      </c>
      <c r="N31" s="19">
        <v>2</v>
      </c>
      <c r="O31" s="19">
        <v>318</v>
      </c>
    </row>
    <row r="32" spans="1:16" s="13" customFormat="1" x14ac:dyDescent="0.25">
      <c r="A32" s="13">
        <v>77</v>
      </c>
      <c r="B32" s="13" t="s">
        <v>68</v>
      </c>
      <c r="C32" s="13" t="s">
        <v>49</v>
      </c>
      <c r="D32" s="13">
        <v>1</v>
      </c>
      <c r="E32" s="13" t="s">
        <v>50</v>
      </c>
      <c r="F32" s="15">
        <v>1</v>
      </c>
      <c r="G32" s="13" t="s">
        <v>9</v>
      </c>
      <c r="H32" s="13" t="s">
        <v>55</v>
      </c>
      <c r="I32" s="13" t="s">
        <v>26</v>
      </c>
      <c r="K32" s="13" t="s">
        <v>107</v>
      </c>
      <c r="M32" s="13">
        <v>50</v>
      </c>
      <c r="N32" s="13">
        <f>D32*F32</f>
        <v>1</v>
      </c>
      <c r="O32" s="13">
        <f>M32*N32</f>
        <v>50</v>
      </c>
    </row>
    <row r="33" spans="1:16" s="13" customFormat="1" x14ac:dyDescent="0.25">
      <c r="A33" s="13">
        <v>20</v>
      </c>
      <c r="B33" s="13" t="s">
        <v>62</v>
      </c>
      <c r="C33" s="13" t="s">
        <v>402</v>
      </c>
      <c r="D33" s="13">
        <v>1</v>
      </c>
      <c r="E33" s="13" t="s">
        <v>353</v>
      </c>
      <c r="F33" s="15">
        <v>1</v>
      </c>
      <c r="G33" s="13" t="s">
        <v>10</v>
      </c>
      <c r="H33" s="13" t="s">
        <v>34</v>
      </c>
      <c r="I33" s="13" t="s">
        <v>78</v>
      </c>
      <c r="J33" s="13" t="s">
        <v>202</v>
      </c>
      <c r="K33" s="13" t="s">
        <v>194</v>
      </c>
      <c r="L33" s="13" t="s">
        <v>136</v>
      </c>
      <c r="M33" s="13">
        <v>9</v>
      </c>
      <c r="N33" s="13">
        <v>1</v>
      </c>
      <c r="O33" s="17">
        <v>17</v>
      </c>
      <c r="P33" s="18" t="s">
        <v>151</v>
      </c>
    </row>
    <row r="34" spans="1:16" s="13" customFormat="1" x14ac:dyDescent="0.25">
      <c r="A34" s="13">
        <v>39</v>
      </c>
      <c r="B34" s="13" t="s">
        <v>62</v>
      </c>
      <c r="C34" s="13" t="s">
        <v>402</v>
      </c>
      <c r="D34" s="13">
        <v>1</v>
      </c>
      <c r="E34" s="13" t="s">
        <v>353</v>
      </c>
      <c r="F34" s="15">
        <v>1</v>
      </c>
      <c r="G34" s="13" t="s">
        <v>10</v>
      </c>
      <c r="H34" s="13" t="s">
        <v>34</v>
      </c>
      <c r="I34" s="13" t="s">
        <v>78</v>
      </c>
      <c r="J34" s="13" t="s">
        <v>205</v>
      </c>
      <c r="K34" s="13" t="s">
        <v>194</v>
      </c>
      <c r="L34" s="19" t="s">
        <v>161</v>
      </c>
      <c r="M34" s="19">
        <v>2.75</v>
      </c>
      <c r="N34" s="19">
        <v>1</v>
      </c>
      <c r="O34" s="19">
        <v>2.75</v>
      </c>
    </row>
    <row r="35" spans="1:16" s="13" customFormat="1" x14ac:dyDescent="0.25">
      <c r="A35" s="13">
        <v>40</v>
      </c>
      <c r="B35" s="13" t="s">
        <v>62</v>
      </c>
      <c r="C35" s="13" t="s">
        <v>402</v>
      </c>
      <c r="D35" s="13">
        <v>1</v>
      </c>
      <c r="E35" s="13" t="s">
        <v>353</v>
      </c>
      <c r="F35" s="15">
        <v>1</v>
      </c>
      <c r="G35" s="13" t="s">
        <v>10</v>
      </c>
      <c r="H35" s="13" t="s">
        <v>34</v>
      </c>
      <c r="I35" s="13" t="s">
        <v>78</v>
      </c>
      <c r="J35" s="13" t="s">
        <v>206</v>
      </c>
      <c r="K35" s="13" t="s">
        <v>194</v>
      </c>
      <c r="L35" s="19" t="s">
        <v>162</v>
      </c>
      <c r="M35" s="19">
        <v>2.19</v>
      </c>
      <c r="N35" s="19">
        <v>1</v>
      </c>
      <c r="O35" s="19">
        <v>2.19</v>
      </c>
    </row>
    <row r="36" spans="1:16" s="13" customFormat="1" x14ac:dyDescent="0.25">
      <c r="A36" s="13">
        <v>41</v>
      </c>
      <c r="B36" s="13" t="s">
        <v>62</v>
      </c>
      <c r="C36" s="13" t="s">
        <v>402</v>
      </c>
      <c r="D36" s="13">
        <v>1</v>
      </c>
      <c r="E36" s="13" t="s">
        <v>353</v>
      </c>
      <c r="F36" s="15">
        <v>1</v>
      </c>
      <c r="G36" s="13" t="s">
        <v>10</v>
      </c>
      <c r="H36" s="13" t="s">
        <v>34</v>
      </c>
      <c r="I36" s="13" t="s">
        <v>78</v>
      </c>
      <c r="J36" s="13" t="s">
        <v>207</v>
      </c>
      <c r="K36" s="13" t="s">
        <v>194</v>
      </c>
      <c r="L36" s="19" t="s">
        <v>163</v>
      </c>
      <c r="M36" s="19">
        <v>1.78</v>
      </c>
      <c r="N36" s="19">
        <v>1</v>
      </c>
      <c r="O36" s="19">
        <v>1.78</v>
      </c>
    </row>
    <row r="37" spans="1:16" s="13" customFormat="1" x14ac:dyDescent="0.25">
      <c r="A37" s="13">
        <v>42</v>
      </c>
      <c r="B37" s="13" t="s">
        <v>62</v>
      </c>
      <c r="C37" s="13" t="s">
        <v>402</v>
      </c>
      <c r="D37" s="13">
        <v>1</v>
      </c>
      <c r="E37" s="13" t="s">
        <v>353</v>
      </c>
      <c r="F37" s="15">
        <v>1</v>
      </c>
      <c r="G37" s="13" t="s">
        <v>10</v>
      </c>
      <c r="H37" s="13" t="s">
        <v>34</v>
      </c>
      <c r="I37" s="13" t="s">
        <v>78</v>
      </c>
      <c r="J37" s="13" t="s">
        <v>208</v>
      </c>
      <c r="K37" s="13" t="s">
        <v>194</v>
      </c>
      <c r="L37" s="19" t="s">
        <v>164</v>
      </c>
      <c r="M37" s="19">
        <v>1.54</v>
      </c>
      <c r="N37" s="19">
        <v>1</v>
      </c>
      <c r="O37" s="19">
        <v>1.54</v>
      </c>
    </row>
    <row r="38" spans="1:16" s="13" customFormat="1" x14ac:dyDescent="0.25">
      <c r="A38" s="13">
        <v>43</v>
      </c>
      <c r="B38" s="13" t="s">
        <v>62</v>
      </c>
      <c r="C38" s="13" t="s">
        <v>402</v>
      </c>
      <c r="D38" s="13">
        <v>1</v>
      </c>
      <c r="E38" s="13" t="s">
        <v>353</v>
      </c>
      <c r="F38" s="15">
        <v>1</v>
      </c>
      <c r="G38" s="13" t="s">
        <v>10</v>
      </c>
      <c r="H38" s="13" t="s">
        <v>34</v>
      </c>
      <c r="I38" s="13" t="s">
        <v>78</v>
      </c>
      <c r="J38" s="13" t="s">
        <v>209</v>
      </c>
      <c r="K38" s="13" t="s">
        <v>194</v>
      </c>
      <c r="L38" s="19" t="s">
        <v>165</v>
      </c>
      <c r="M38" s="19">
        <v>1.22</v>
      </c>
      <c r="N38" s="19">
        <v>1</v>
      </c>
      <c r="O38" s="19">
        <v>1.22</v>
      </c>
    </row>
    <row r="39" spans="1:16" s="13" customFormat="1" x14ac:dyDescent="0.25">
      <c r="A39" s="13">
        <v>104</v>
      </c>
      <c r="B39" s="13" t="s">
        <v>399</v>
      </c>
      <c r="C39" s="13" t="s">
        <v>399</v>
      </c>
      <c r="D39" s="13">
        <v>16</v>
      </c>
      <c r="E39" s="13" t="s">
        <v>261</v>
      </c>
      <c r="F39" s="15">
        <v>16</v>
      </c>
      <c r="G39" s="13" t="s">
        <v>16</v>
      </c>
      <c r="H39" s="13" t="s">
        <v>16</v>
      </c>
      <c r="I39" s="13" t="s">
        <v>76</v>
      </c>
      <c r="K39" s="13" t="s">
        <v>262</v>
      </c>
      <c r="L39" s="13" t="s">
        <v>403</v>
      </c>
      <c r="M39" s="13">
        <v>48</v>
      </c>
      <c r="N39" s="13">
        <v>32</v>
      </c>
      <c r="O39" s="13">
        <f>M39*N39</f>
        <v>1536</v>
      </c>
    </row>
    <row r="40" spans="1:16" s="13" customFormat="1" x14ac:dyDescent="0.25">
      <c r="A40" s="13">
        <v>130</v>
      </c>
      <c r="B40" s="13" t="s">
        <v>399</v>
      </c>
      <c r="C40" s="13" t="s">
        <v>399</v>
      </c>
      <c r="D40" s="13">
        <v>16</v>
      </c>
      <c r="E40" s="13" t="s">
        <v>261</v>
      </c>
      <c r="F40" s="15">
        <v>16</v>
      </c>
      <c r="G40" s="13" t="s">
        <v>16</v>
      </c>
      <c r="H40" s="13" t="s">
        <v>16</v>
      </c>
      <c r="I40" s="13" t="s">
        <v>76</v>
      </c>
      <c r="K40" s="13" t="s">
        <v>262</v>
      </c>
      <c r="L40" s="13" t="s">
        <v>404</v>
      </c>
      <c r="M40" s="13">
        <v>75</v>
      </c>
      <c r="N40" s="13">
        <v>14</v>
      </c>
      <c r="O40" s="13">
        <f>M40*N40</f>
        <v>1050</v>
      </c>
    </row>
    <row r="41" spans="1:16" s="13" customFormat="1" x14ac:dyDescent="0.25">
      <c r="A41" s="13">
        <v>109</v>
      </c>
      <c r="B41" s="13" t="s">
        <v>64</v>
      </c>
      <c r="C41" s="13" t="s">
        <v>63</v>
      </c>
      <c r="D41" s="13">
        <v>1</v>
      </c>
      <c r="E41" s="13" t="s">
        <v>386</v>
      </c>
      <c r="F41" s="15">
        <v>1</v>
      </c>
      <c r="G41" s="13" t="s">
        <v>332</v>
      </c>
      <c r="H41" s="13" t="s">
        <v>22</v>
      </c>
      <c r="I41" s="13" t="s">
        <v>78</v>
      </c>
      <c r="K41" s="13" t="s">
        <v>271</v>
      </c>
      <c r="L41" s="13" t="s">
        <v>272</v>
      </c>
      <c r="M41" s="13">
        <v>148</v>
      </c>
      <c r="N41" s="13">
        <v>1</v>
      </c>
      <c r="O41" s="13">
        <f>M41*N41</f>
        <v>148</v>
      </c>
    </row>
    <row r="42" spans="1:16" s="13" customFormat="1" x14ac:dyDescent="0.25">
      <c r="A42" s="13">
        <v>102</v>
      </c>
      <c r="B42" s="13" t="s">
        <v>399</v>
      </c>
      <c r="C42" s="13" t="s">
        <v>399</v>
      </c>
      <c r="D42" s="13">
        <v>3</v>
      </c>
      <c r="E42" s="13" t="s">
        <v>382</v>
      </c>
      <c r="F42" s="15">
        <v>3</v>
      </c>
      <c r="G42" s="13" t="s">
        <v>16</v>
      </c>
      <c r="H42" s="13" t="s">
        <v>156</v>
      </c>
      <c r="I42" s="13" t="s">
        <v>78</v>
      </c>
      <c r="K42" s="13" t="s">
        <v>260</v>
      </c>
      <c r="L42" s="13" t="s">
        <v>258</v>
      </c>
      <c r="M42" s="13">
        <v>65</v>
      </c>
      <c r="N42" s="13">
        <v>2</v>
      </c>
      <c r="O42" s="13">
        <f>M42*N42</f>
        <v>130</v>
      </c>
    </row>
    <row r="43" spans="1:16" s="13" customFormat="1" x14ac:dyDescent="0.25">
      <c r="A43" s="13">
        <v>84</v>
      </c>
      <c r="B43" s="13" t="s">
        <v>48</v>
      </c>
      <c r="C43" s="13" t="s">
        <v>44</v>
      </c>
      <c r="D43" s="13">
        <v>1</v>
      </c>
      <c r="E43" s="13" t="s">
        <v>373</v>
      </c>
      <c r="F43" s="15">
        <v>1</v>
      </c>
      <c r="G43" s="13" t="s">
        <v>9</v>
      </c>
      <c r="H43" s="13" t="s">
        <v>24</v>
      </c>
      <c r="I43" s="13" t="s">
        <v>78</v>
      </c>
      <c r="K43" s="13" t="s">
        <v>90</v>
      </c>
      <c r="L43" s="13" t="s">
        <v>238</v>
      </c>
      <c r="M43" s="13">
        <v>139</v>
      </c>
      <c r="N43" s="13">
        <v>2</v>
      </c>
      <c r="O43" s="13">
        <v>278</v>
      </c>
    </row>
    <row r="44" spans="1:16" s="13" customFormat="1" x14ac:dyDescent="0.25">
      <c r="A44" s="13">
        <v>98</v>
      </c>
      <c r="B44" s="13" t="s">
        <v>62</v>
      </c>
      <c r="C44" s="13" t="s">
        <v>401</v>
      </c>
      <c r="D44" s="13">
        <v>16</v>
      </c>
      <c r="E44" s="13" t="s">
        <v>252</v>
      </c>
      <c r="F44" s="15">
        <v>16</v>
      </c>
      <c r="G44" s="13" t="s">
        <v>10</v>
      </c>
      <c r="H44" s="13" t="s">
        <v>60</v>
      </c>
      <c r="I44" s="13" t="s">
        <v>76</v>
      </c>
      <c r="K44" s="13" t="s">
        <v>254</v>
      </c>
      <c r="L44" s="13" t="s">
        <v>252</v>
      </c>
      <c r="M44" s="13">
        <v>5</v>
      </c>
      <c r="N44" s="13">
        <v>32</v>
      </c>
      <c r="O44" s="13">
        <f>M44*N44</f>
        <v>160</v>
      </c>
    </row>
    <row r="45" spans="1:16" s="13" customFormat="1" x14ac:dyDescent="0.25">
      <c r="A45" s="13">
        <v>3</v>
      </c>
      <c r="B45" s="13" t="s">
        <v>62</v>
      </c>
      <c r="C45" s="13" t="s">
        <v>57</v>
      </c>
      <c r="D45" s="13">
        <v>4</v>
      </c>
      <c r="E45" s="13" t="s">
        <v>58</v>
      </c>
      <c r="F45" s="15">
        <v>2</v>
      </c>
      <c r="G45" s="13" t="s">
        <v>10</v>
      </c>
      <c r="H45" s="13" t="s">
        <v>60</v>
      </c>
      <c r="I45" s="13" t="s">
        <v>76</v>
      </c>
      <c r="K45" s="13" t="s">
        <v>89</v>
      </c>
      <c r="L45" s="13" t="s">
        <v>59</v>
      </c>
      <c r="M45" s="13">
        <v>2</v>
      </c>
      <c r="N45" s="13">
        <f>D45*F45</f>
        <v>8</v>
      </c>
      <c r="O45" s="13">
        <f>M45*N45</f>
        <v>16</v>
      </c>
    </row>
    <row r="46" spans="1:16" s="13" customFormat="1" x14ac:dyDescent="0.25">
      <c r="A46" s="13">
        <v>29</v>
      </c>
      <c r="B46" s="13" t="s">
        <v>62</v>
      </c>
      <c r="C46" s="13" t="s">
        <v>401</v>
      </c>
      <c r="D46" s="13">
        <v>1</v>
      </c>
      <c r="E46" s="13" t="s">
        <v>359</v>
      </c>
      <c r="F46" s="15">
        <v>1</v>
      </c>
      <c r="G46" s="13" t="s">
        <v>10</v>
      </c>
      <c r="H46" s="13" t="s">
        <v>34</v>
      </c>
      <c r="I46" s="13" t="s">
        <v>76</v>
      </c>
      <c r="K46" s="13" t="s">
        <v>89</v>
      </c>
      <c r="L46" s="13" t="s">
        <v>144</v>
      </c>
      <c r="M46" s="13">
        <v>49</v>
      </c>
      <c r="N46" s="13">
        <v>1</v>
      </c>
      <c r="O46" s="17">
        <v>57</v>
      </c>
      <c r="P46" s="18" t="s">
        <v>151</v>
      </c>
    </row>
    <row r="47" spans="1:16" s="13" customFormat="1" x14ac:dyDescent="0.25">
      <c r="A47" s="13">
        <v>30</v>
      </c>
      <c r="B47" s="13" t="s">
        <v>62</v>
      </c>
      <c r="C47" s="13" t="s">
        <v>401</v>
      </c>
      <c r="D47" s="13">
        <v>1</v>
      </c>
      <c r="E47" s="13" t="s">
        <v>359</v>
      </c>
      <c r="F47" s="15">
        <v>1</v>
      </c>
      <c r="G47" s="13" t="s">
        <v>10</v>
      </c>
      <c r="H47" s="13" t="s">
        <v>34</v>
      </c>
      <c r="I47" s="13" t="s">
        <v>76</v>
      </c>
      <c r="K47" s="13" t="s">
        <v>89</v>
      </c>
      <c r="L47" s="13" t="s">
        <v>145</v>
      </c>
      <c r="M47" s="13">
        <v>1</v>
      </c>
      <c r="N47" s="13">
        <v>10</v>
      </c>
      <c r="O47" s="17">
        <v>10</v>
      </c>
      <c r="P47" s="17"/>
    </row>
    <row r="48" spans="1:16" s="13" customFormat="1" x14ac:dyDescent="0.25">
      <c r="A48" s="13">
        <v>94</v>
      </c>
      <c r="B48" s="13" t="s">
        <v>398</v>
      </c>
      <c r="C48" s="13" t="s">
        <v>402</v>
      </c>
      <c r="D48" s="13">
        <v>1</v>
      </c>
      <c r="E48" s="13" t="s">
        <v>378</v>
      </c>
      <c r="F48" s="15">
        <v>1</v>
      </c>
      <c r="G48" s="13" t="s">
        <v>16</v>
      </c>
      <c r="H48" s="13" t="s">
        <v>156</v>
      </c>
      <c r="I48" s="13" t="s">
        <v>78</v>
      </c>
      <c r="K48" s="13" t="s">
        <v>251</v>
      </c>
      <c r="L48" s="13" t="s">
        <v>248</v>
      </c>
      <c r="M48" s="13">
        <v>13.2</v>
      </c>
      <c r="N48" s="13">
        <v>1</v>
      </c>
      <c r="O48" s="13">
        <f t="shared" ref="O48:O53" si="1">M48*N48</f>
        <v>13.2</v>
      </c>
    </row>
    <row r="49" spans="1:16" s="13" customFormat="1" x14ac:dyDescent="0.25">
      <c r="A49" s="13">
        <v>95</v>
      </c>
      <c r="B49" s="13" t="s">
        <v>398</v>
      </c>
      <c r="C49" s="13" t="s">
        <v>402</v>
      </c>
      <c r="D49" s="13">
        <v>1</v>
      </c>
      <c r="E49" s="13" t="s">
        <v>378</v>
      </c>
      <c r="F49" s="15">
        <v>1</v>
      </c>
      <c r="G49" s="13" t="s">
        <v>16</v>
      </c>
      <c r="H49" s="13" t="s">
        <v>156</v>
      </c>
      <c r="I49" s="13" t="s">
        <v>78</v>
      </c>
      <c r="K49" s="13" t="s">
        <v>251</v>
      </c>
      <c r="L49" s="13" t="s">
        <v>249</v>
      </c>
      <c r="M49" s="13">
        <v>6.6</v>
      </c>
      <c r="N49" s="13">
        <v>1</v>
      </c>
      <c r="O49" s="13">
        <f t="shared" si="1"/>
        <v>6.6</v>
      </c>
    </row>
    <row r="50" spans="1:16" s="13" customFormat="1" x14ac:dyDescent="0.25">
      <c r="A50" s="13">
        <v>96</v>
      </c>
      <c r="B50" s="13" t="s">
        <v>398</v>
      </c>
      <c r="C50" s="13" t="s">
        <v>402</v>
      </c>
      <c r="D50" s="13">
        <v>1</v>
      </c>
      <c r="E50" s="13" t="s">
        <v>378</v>
      </c>
      <c r="F50" s="15">
        <v>1</v>
      </c>
      <c r="G50" s="13" t="s">
        <v>16</v>
      </c>
      <c r="H50" s="13" t="s">
        <v>156</v>
      </c>
      <c r="I50" s="13" t="s">
        <v>78</v>
      </c>
      <c r="K50" s="13" t="s">
        <v>251</v>
      </c>
      <c r="L50" s="13" t="s">
        <v>250</v>
      </c>
      <c r="M50" s="13">
        <v>9.9</v>
      </c>
      <c r="N50" s="13">
        <v>1</v>
      </c>
      <c r="O50" s="13">
        <f t="shared" si="1"/>
        <v>9.9</v>
      </c>
    </row>
    <row r="51" spans="1:16" s="13" customFormat="1" x14ac:dyDescent="0.25">
      <c r="A51" s="13">
        <v>135</v>
      </c>
      <c r="B51" s="13" t="s">
        <v>62</v>
      </c>
      <c r="C51" s="13" t="s">
        <v>402</v>
      </c>
      <c r="D51" s="13">
        <v>1</v>
      </c>
      <c r="E51" s="13" t="s">
        <v>349</v>
      </c>
      <c r="F51" s="15">
        <v>1</v>
      </c>
      <c r="G51" s="13" t="s">
        <v>16</v>
      </c>
      <c r="H51" s="13" t="s">
        <v>156</v>
      </c>
      <c r="I51" s="13" t="s">
        <v>78</v>
      </c>
      <c r="J51" s="13">
        <v>270</v>
      </c>
      <c r="K51" s="13" t="s">
        <v>303</v>
      </c>
      <c r="L51" s="13" t="s">
        <v>304</v>
      </c>
      <c r="M51" s="13">
        <v>30</v>
      </c>
      <c r="N51" s="13">
        <v>1</v>
      </c>
      <c r="O51" s="13">
        <f t="shared" si="1"/>
        <v>30</v>
      </c>
    </row>
    <row r="52" spans="1:16" s="13" customFormat="1" x14ac:dyDescent="0.25">
      <c r="A52" s="13">
        <v>136</v>
      </c>
      <c r="B52" s="13" t="s">
        <v>62</v>
      </c>
      <c r="C52" s="13" t="s">
        <v>402</v>
      </c>
      <c r="D52" s="13">
        <v>1</v>
      </c>
      <c r="E52" s="13" t="s">
        <v>349</v>
      </c>
      <c r="F52" s="15">
        <v>1</v>
      </c>
      <c r="G52" s="13" t="s">
        <v>16</v>
      </c>
      <c r="H52" s="13" t="s">
        <v>156</v>
      </c>
      <c r="I52" s="13" t="s">
        <v>78</v>
      </c>
      <c r="K52" s="13" t="s">
        <v>303</v>
      </c>
      <c r="L52" s="13" t="s">
        <v>305</v>
      </c>
      <c r="M52" s="13">
        <v>12</v>
      </c>
      <c r="N52" s="13">
        <v>2</v>
      </c>
      <c r="O52" s="13">
        <f t="shared" si="1"/>
        <v>24</v>
      </c>
    </row>
    <row r="53" spans="1:16" s="13" customFormat="1" x14ac:dyDescent="0.25">
      <c r="A53" s="13">
        <v>137</v>
      </c>
      <c r="B53" s="13" t="s">
        <v>62</v>
      </c>
      <c r="C53" s="13" t="s">
        <v>402</v>
      </c>
      <c r="D53" s="13">
        <v>1</v>
      </c>
      <c r="E53" s="13" t="s">
        <v>349</v>
      </c>
      <c r="F53" s="15">
        <v>1</v>
      </c>
      <c r="G53" s="13" t="s">
        <v>16</v>
      </c>
      <c r="H53" s="13" t="s">
        <v>156</v>
      </c>
      <c r="I53" s="13" t="s">
        <v>78</v>
      </c>
      <c r="K53" s="13" t="s">
        <v>303</v>
      </c>
      <c r="L53" s="13" t="s">
        <v>306</v>
      </c>
      <c r="M53" s="13">
        <v>6</v>
      </c>
      <c r="N53" s="13">
        <v>1</v>
      </c>
      <c r="O53" s="13">
        <f t="shared" si="1"/>
        <v>6</v>
      </c>
    </row>
    <row r="54" spans="1:16" s="13" customFormat="1" x14ac:dyDescent="0.25">
      <c r="A54" s="13">
        <v>14</v>
      </c>
      <c r="B54" s="13" t="s">
        <v>397</v>
      </c>
      <c r="C54" s="13" t="s">
        <v>402</v>
      </c>
      <c r="D54" s="13">
        <v>1</v>
      </c>
      <c r="E54" s="13" t="s">
        <v>349</v>
      </c>
      <c r="F54" s="15">
        <v>1</v>
      </c>
      <c r="G54" s="13" t="s">
        <v>10</v>
      </c>
      <c r="H54" s="13" t="s">
        <v>156</v>
      </c>
      <c r="I54" s="13" t="s">
        <v>78</v>
      </c>
      <c r="K54" s="13" t="s">
        <v>196</v>
      </c>
      <c r="L54" s="13" t="s">
        <v>130</v>
      </c>
      <c r="M54" s="13">
        <v>138</v>
      </c>
      <c r="N54" s="13">
        <v>1</v>
      </c>
      <c r="O54" s="17">
        <v>138</v>
      </c>
      <c r="P54" s="17"/>
    </row>
    <row r="55" spans="1:16" s="13" customFormat="1" x14ac:dyDescent="0.25">
      <c r="A55" s="13">
        <v>113</v>
      </c>
      <c r="B55" s="13" t="s">
        <v>48</v>
      </c>
      <c r="C55" s="13" t="s">
        <v>44</v>
      </c>
      <c r="D55" s="13">
        <v>1</v>
      </c>
      <c r="E55" s="13" t="s">
        <v>388</v>
      </c>
      <c r="F55" s="15">
        <v>1</v>
      </c>
      <c r="G55" s="13" t="s">
        <v>10</v>
      </c>
      <c r="H55" s="13" t="s">
        <v>60</v>
      </c>
      <c r="I55" s="13" t="s">
        <v>76</v>
      </c>
      <c r="K55" s="13" t="s">
        <v>279</v>
      </c>
      <c r="L55" s="13" t="s">
        <v>280</v>
      </c>
      <c r="M55" s="13">
        <v>10</v>
      </c>
      <c r="N55" s="13">
        <v>15</v>
      </c>
      <c r="O55" s="13">
        <f>M55*N55</f>
        <v>150</v>
      </c>
    </row>
    <row r="56" spans="1:16" s="13" customFormat="1" x14ac:dyDescent="0.25">
      <c r="A56" s="13">
        <v>97</v>
      </c>
      <c r="B56" s="13" t="s">
        <v>64</v>
      </c>
      <c r="C56" s="13" t="s">
        <v>63</v>
      </c>
      <c r="D56" s="13">
        <v>1</v>
      </c>
      <c r="E56" s="13" t="s">
        <v>379</v>
      </c>
      <c r="F56" s="15">
        <v>1</v>
      </c>
      <c r="G56" s="13" t="s">
        <v>9</v>
      </c>
      <c r="H56" s="13" t="s">
        <v>16</v>
      </c>
      <c r="I56" s="13" t="s">
        <v>78</v>
      </c>
      <c r="K56" s="13" t="s">
        <v>253</v>
      </c>
      <c r="L56" s="13" t="s">
        <v>336</v>
      </c>
      <c r="M56" s="13">
        <v>2.2799999999999998</v>
      </c>
      <c r="N56" s="13">
        <v>1</v>
      </c>
      <c r="O56" s="13">
        <f>M56*N56</f>
        <v>2.2799999999999998</v>
      </c>
    </row>
    <row r="57" spans="1:16" s="13" customFormat="1" x14ac:dyDescent="0.25">
      <c r="A57" s="13">
        <v>105</v>
      </c>
      <c r="B57" s="13" t="s">
        <v>64</v>
      </c>
      <c r="C57" s="13" t="s">
        <v>63</v>
      </c>
      <c r="D57" s="13">
        <v>1</v>
      </c>
      <c r="E57" s="13" t="s">
        <v>379</v>
      </c>
      <c r="F57" s="15">
        <v>1</v>
      </c>
      <c r="G57" s="13" t="s">
        <v>9</v>
      </c>
      <c r="H57" s="13" t="s">
        <v>16</v>
      </c>
      <c r="I57" s="13" t="s">
        <v>78</v>
      </c>
      <c r="K57" s="13" t="s">
        <v>263</v>
      </c>
      <c r="L57" s="13" t="s">
        <v>264</v>
      </c>
      <c r="M57" s="13">
        <v>68</v>
      </c>
      <c r="N57" s="13">
        <v>2</v>
      </c>
      <c r="O57" s="13">
        <f>M57*N57</f>
        <v>136</v>
      </c>
    </row>
    <row r="58" spans="1:16" s="13" customFormat="1" x14ac:dyDescent="0.25">
      <c r="A58" s="13">
        <v>34</v>
      </c>
      <c r="B58" s="13" t="s">
        <v>48</v>
      </c>
      <c r="C58" s="13" t="s">
        <v>63</v>
      </c>
      <c r="D58" s="13">
        <v>1</v>
      </c>
      <c r="E58" s="13" t="s">
        <v>362</v>
      </c>
      <c r="F58" s="15">
        <v>1</v>
      </c>
      <c r="G58" s="13" t="s">
        <v>10</v>
      </c>
      <c r="H58" s="13" t="s">
        <v>60</v>
      </c>
      <c r="I58" s="13" t="s">
        <v>76</v>
      </c>
      <c r="K58" s="13" t="s">
        <v>89</v>
      </c>
      <c r="L58" s="13" t="s">
        <v>149</v>
      </c>
      <c r="M58" s="13">
        <v>11.5</v>
      </c>
      <c r="N58" s="13">
        <v>1</v>
      </c>
      <c r="O58" s="17">
        <v>11.5</v>
      </c>
      <c r="P58" s="17"/>
    </row>
    <row r="59" spans="1:16" s="13" customFormat="1" x14ac:dyDescent="0.25">
      <c r="A59" s="13">
        <v>35</v>
      </c>
      <c r="B59" s="13" t="s">
        <v>48</v>
      </c>
      <c r="C59" s="13" t="s">
        <v>63</v>
      </c>
      <c r="D59" s="13">
        <v>1</v>
      </c>
      <c r="E59" s="13" t="s">
        <v>362</v>
      </c>
      <c r="F59" s="15">
        <v>1</v>
      </c>
      <c r="G59" s="13" t="s">
        <v>10</v>
      </c>
      <c r="H59" s="13" t="s">
        <v>60</v>
      </c>
      <c r="I59" s="13" t="s">
        <v>76</v>
      </c>
      <c r="K59" s="13" t="s">
        <v>89</v>
      </c>
      <c r="L59" s="13" t="s">
        <v>150</v>
      </c>
      <c r="M59" s="13">
        <v>11.5</v>
      </c>
      <c r="N59" s="13">
        <v>1</v>
      </c>
      <c r="O59" s="17">
        <v>11.5</v>
      </c>
      <c r="P59" s="17"/>
    </row>
    <row r="60" spans="1:16" s="13" customFormat="1" x14ac:dyDescent="0.25">
      <c r="A60" s="13">
        <v>33</v>
      </c>
      <c r="B60" s="13" t="s">
        <v>62</v>
      </c>
      <c r="C60" s="13" t="s">
        <v>44</v>
      </c>
      <c r="D60" s="13">
        <v>2</v>
      </c>
      <c r="E60" s="13" t="s">
        <v>361</v>
      </c>
      <c r="F60" s="15">
        <v>2</v>
      </c>
      <c r="G60" s="13" t="s">
        <v>10</v>
      </c>
      <c r="H60" s="13" t="s">
        <v>60</v>
      </c>
      <c r="I60" s="13" t="s">
        <v>76</v>
      </c>
      <c r="K60" s="13" t="s">
        <v>89</v>
      </c>
      <c r="L60" s="13" t="s">
        <v>148</v>
      </c>
      <c r="M60" s="13">
        <v>35</v>
      </c>
      <c r="N60" s="13">
        <v>2</v>
      </c>
      <c r="O60" s="17">
        <v>82</v>
      </c>
      <c r="P60" s="18" t="s">
        <v>152</v>
      </c>
    </row>
    <row r="61" spans="1:16" x14ac:dyDescent="0.25">
      <c r="A61" s="13">
        <v>114</v>
      </c>
      <c r="B61" s="13" t="s">
        <v>62</v>
      </c>
      <c r="C61" s="13" t="s">
        <v>44</v>
      </c>
      <c r="D61" s="13">
        <v>1</v>
      </c>
      <c r="E61" s="13" t="s">
        <v>361</v>
      </c>
      <c r="F61" s="15">
        <v>1</v>
      </c>
      <c r="G61" s="13" t="s">
        <v>10</v>
      </c>
      <c r="H61" s="13" t="s">
        <v>60</v>
      </c>
      <c r="I61" s="13" t="s">
        <v>78</v>
      </c>
      <c r="J61" s="13"/>
      <c r="K61" s="13" t="s">
        <v>281</v>
      </c>
      <c r="L61" s="13" t="s">
        <v>282</v>
      </c>
      <c r="M61" s="13">
        <v>14.5</v>
      </c>
      <c r="N61" s="13">
        <v>1</v>
      </c>
      <c r="O61" s="13">
        <f>M61*N61</f>
        <v>14.5</v>
      </c>
      <c r="P61" s="13"/>
    </row>
    <row r="62" spans="1:16" x14ac:dyDescent="0.25">
      <c r="A62" s="13">
        <v>15</v>
      </c>
      <c r="B62" s="13" t="s">
        <v>397</v>
      </c>
      <c r="C62" s="13" t="s">
        <v>157</v>
      </c>
      <c r="D62" s="13">
        <v>1</v>
      </c>
      <c r="E62" s="13" t="s">
        <v>350</v>
      </c>
      <c r="F62" s="15">
        <v>1</v>
      </c>
      <c r="G62" s="13" t="s">
        <v>10</v>
      </c>
      <c r="H62" s="13" t="s">
        <v>156</v>
      </c>
      <c r="I62" s="13" t="s">
        <v>78</v>
      </c>
      <c r="J62" s="13"/>
      <c r="K62" s="13" t="s">
        <v>195</v>
      </c>
      <c r="L62" s="13" t="s">
        <v>131</v>
      </c>
      <c r="M62" s="13">
        <v>29.9</v>
      </c>
      <c r="N62" s="13">
        <v>1</v>
      </c>
      <c r="O62" s="17">
        <v>29.9</v>
      </c>
      <c r="P62" s="17"/>
    </row>
    <row r="63" spans="1:16" x14ac:dyDescent="0.25">
      <c r="A63" s="13">
        <v>1</v>
      </c>
      <c r="B63" s="13" t="s">
        <v>6</v>
      </c>
      <c r="C63" s="13" t="s">
        <v>39</v>
      </c>
      <c r="D63" s="13">
        <v>4</v>
      </c>
      <c r="E63" s="13" t="s">
        <v>42</v>
      </c>
      <c r="F63" s="15">
        <v>4</v>
      </c>
      <c r="G63" s="13" t="s">
        <v>10</v>
      </c>
      <c r="H63" s="13" t="s">
        <v>18</v>
      </c>
      <c r="I63" s="13" t="s">
        <v>76</v>
      </c>
      <c r="J63" s="13"/>
      <c r="K63" s="13" t="s">
        <v>95</v>
      </c>
      <c r="L63" s="13" t="s">
        <v>154</v>
      </c>
      <c r="M63" s="13">
        <v>150</v>
      </c>
      <c r="N63" s="13">
        <f>D63*F63</f>
        <v>16</v>
      </c>
      <c r="O63" s="13">
        <f>M63*N63</f>
        <v>2400</v>
      </c>
      <c r="P63" s="13"/>
    </row>
    <row r="64" spans="1:16" x14ac:dyDescent="0.25">
      <c r="A64" s="13">
        <v>150</v>
      </c>
      <c r="B64" s="13" t="s">
        <v>62</v>
      </c>
      <c r="C64" s="13" t="s">
        <v>401</v>
      </c>
      <c r="D64" s="13">
        <v>12</v>
      </c>
      <c r="E64" s="13" t="s">
        <v>366</v>
      </c>
      <c r="F64" s="15">
        <v>12</v>
      </c>
      <c r="G64" s="13" t="s">
        <v>10</v>
      </c>
      <c r="H64" s="13" t="s">
        <v>60</v>
      </c>
      <c r="I64" s="13" t="s">
        <v>76</v>
      </c>
      <c r="J64" s="13"/>
      <c r="K64" s="13" t="s">
        <v>322</v>
      </c>
      <c r="L64" s="13" t="s">
        <v>323</v>
      </c>
      <c r="M64" s="13">
        <v>45</v>
      </c>
      <c r="N64" s="13">
        <v>12</v>
      </c>
      <c r="O64" s="13">
        <f>M64*N64</f>
        <v>540</v>
      </c>
      <c r="P64" s="13"/>
    </row>
    <row r="65" spans="1:18" x14ac:dyDescent="0.25">
      <c r="A65" s="13">
        <v>27</v>
      </c>
      <c r="B65" s="13" t="s">
        <v>62</v>
      </c>
      <c r="C65" s="13" t="s">
        <v>402</v>
      </c>
      <c r="D65" s="13">
        <v>3</v>
      </c>
      <c r="E65" s="13" t="s">
        <v>358</v>
      </c>
      <c r="F65" s="15">
        <v>3</v>
      </c>
      <c r="G65" s="13" t="s">
        <v>10</v>
      </c>
      <c r="H65" s="13" t="s">
        <v>34</v>
      </c>
      <c r="I65" s="13" t="s">
        <v>78</v>
      </c>
      <c r="J65" s="13" t="s">
        <v>203</v>
      </c>
      <c r="K65" s="13" t="s">
        <v>194</v>
      </c>
      <c r="L65" s="13" t="s">
        <v>142</v>
      </c>
      <c r="M65" s="13">
        <v>3.82</v>
      </c>
      <c r="N65" s="13">
        <v>3</v>
      </c>
      <c r="O65" s="17">
        <v>11.46</v>
      </c>
      <c r="P65" s="17"/>
    </row>
    <row r="66" spans="1:18" x14ac:dyDescent="0.25">
      <c r="A66" s="13">
        <v>28</v>
      </c>
      <c r="B66" s="13" t="s">
        <v>62</v>
      </c>
      <c r="C66" s="13" t="s">
        <v>402</v>
      </c>
      <c r="D66" s="13">
        <v>3</v>
      </c>
      <c r="E66" s="13" t="s">
        <v>358</v>
      </c>
      <c r="F66" s="15">
        <v>3</v>
      </c>
      <c r="G66" s="13" t="s">
        <v>10</v>
      </c>
      <c r="H66" s="13" t="s">
        <v>34</v>
      </c>
      <c r="I66" s="13" t="s">
        <v>78</v>
      </c>
      <c r="J66" s="13" t="s">
        <v>204</v>
      </c>
      <c r="K66" s="13" t="s">
        <v>194</v>
      </c>
      <c r="L66" s="13" t="s">
        <v>143</v>
      </c>
      <c r="M66" s="13">
        <v>3.82</v>
      </c>
      <c r="N66" s="13">
        <v>3</v>
      </c>
      <c r="O66" s="17">
        <v>11.46</v>
      </c>
      <c r="P66" s="17"/>
      <c r="R66" s="14" t="s">
        <v>3</v>
      </c>
    </row>
    <row r="67" spans="1:18" x14ac:dyDescent="0.25">
      <c r="A67" s="13">
        <v>121</v>
      </c>
      <c r="B67" s="13" t="s">
        <v>62</v>
      </c>
      <c r="C67" s="13" t="s">
        <v>402</v>
      </c>
      <c r="D67" s="13">
        <v>1</v>
      </c>
      <c r="E67" s="13" t="s">
        <v>391</v>
      </c>
      <c r="F67" s="15">
        <v>1</v>
      </c>
      <c r="G67" s="13" t="s">
        <v>10</v>
      </c>
      <c r="H67" s="13" t="s">
        <v>34</v>
      </c>
      <c r="I67" s="13" t="s">
        <v>78</v>
      </c>
      <c r="J67" s="13" t="s">
        <v>346</v>
      </c>
      <c r="K67" s="13" t="s">
        <v>324</v>
      </c>
      <c r="L67" s="13" t="s">
        <v>325</v>
      </c>
      <c r="M67" s="13">
        <v>9.35</v>
      </c>
      <c r="N67" s="13">
        <v>1</v>
      </c>
      <c r="O67" s="13">
        <f>M67*N67</f>
        <v>9.35</v>
      </c>
      <c r="P67" s="13"/>
    </row>
    <row r="68" spans="1:18" x14ac:dyDescent="0.25">
      <c r="A68" s="13">
        <v>122</v>
      </c>
      <c r="B68" s="13" t="s">
        <v>62</v>
      </c>
      <c r="C68" s="13" t="s">
        <v>402</v>
      </c>
      <c r="D68" s="13">
        <v>1</v>
      </c>
      <c r="E68" s="13" t="s">
        <v>391</v>
      </c>
      <c r="F68" s="15">
        <v>1</v>
      </c>
      <c r="G68" s="13" t="s">
        <v>10</v>
      </c>
      <c r="H68" s="13" t="s">
        <v>34</v>
      </c>
      <c r="I68" s="13" t="s">
        <v>78</v>
      </c>
      <c r="J68" s="13" t="s">
        <v>345</v>
      </c>
      <c r="K68" s="13" t="s">
        <v>324</v>
      </c>
      <c r="L68" s="13" t="s">
        <v>326</v>
      </c>
      <c r="M68" s="13">
        <v>7.26</v>
      </c>
      <c r="N68" s="13">
        <v>1</v>
      </c>
      <c r="O68" s="13">
        <f>M68*N68</f>
        <v>7.26</v>
      </c>
      <c r="P68" s="13"/>
    </row>
    <row r="69" spans="1:18" x14ac:dyDescent="0.25">
      <c r="A69" s="13">
        <v>9</v>
      </c>
      <c r="B69" s="13" t="s">
        <v>62</v>
      </c>
      <c r="C69" s="13" t="s">
        <v>402</v>
      </c>
      <c r="D69" s="13">
        <v>8</v>
      </c>
      <c r="E69" s="13" t="s">
        <v>348</v>
      </c>
      <c r="F69" s="15">
        <v>8</v>
      </c>
      <c r="G69" s="13" t="s">
        <v>10</v>
      </c>
      <c r="H69" s="13" t="s">
        <v>18</v>
      </c>
      <c r="I69" s="13" t="s">
        <v>76</v>
      </c>
      <c r="J69" s="13"/>
      <c r="K69" s="13" t="s">
        <v>89</v>
      </c>
      <c r="L69" s="13" t="s">
        <v>126</v>
      </c>
      <c r="M69" s="13">
        <v>3.38</v>
      </c>
      <c r="N69" s="13">
        <v>8</v>
      </c>
      <c r="O69" s="17">
        <v>27.04</v>
      </c>
      <c r="P69" s="17"/>
    </row>
    <row r="70" spans="1:18" ht="28.8" x14ac:dyDescent="0.25">
      <c r="A70" s="13">
        <v>10</v>
      </c>
      <c r="B70" s="13" t="s">
        <v>62</v>
      </c>
      <c r="C70" s="13" t="s">
        <v>402</v>
      </c>
      <c r="D70" s="13">
        <v>1</v>
      </c>
      <c r="E70" s="13" t="s">
        <v>348</v>
      </c>
      <c r="F70" s="15">
        <v>1</v>
      </c>
      <c r="G70" s="13" t="s">
        <v>10</v>
      </c>
      <c r="H70" s="13" t="s">
        <v>34</v>
      </c>
      <c r="I70" s="13" t="s">
        <v>78</v>
      </c>
      <c r="J70" s="13" t="s">
        <v>197</v>
      </c>
      <c r="K70" s="13" t="s">
        <v>194</v>
      </c>
      <c r="L70" s="13" t="s">
        <v>127</v>
      </c>
      <c r="M70" s="13">
        <v>6</v>
      </c>
      <c r="N70" s="13">
        <v>1</v>
      </c>
      <c r="O70" s="17">
        <v>6</v>
      </c>
      <c r="P70" s="17"/>
    </row>
    <row r="71" spans="1:18" x14ac:dyDescent="0.25">
      <c r="A71" s="13">
        <v>11</v>
      </c>
      <c r="B71" s="13" t="s">
        <v>62</v>
      </c>
      <c r="C71" s="13" t="s">
        <v>402</v>
      </c>
      <c r="D71" s="13">
        <v>2</v>
      </c>
      <c r="E71" s="13" t="s">
        <v>348</v>
      </c>
      <c r="F71" s="15">
        <v>2</v>
      </c>
      <c r="G71" s="13" t="s">
        <v>10</v>
      </c>
      <c r="H71" s="13" t="s">
        <v>34</v>
      </c>
      <c r="I71" s="13" t="s">
        <v>76</v>
      </c>
      <c r="J71" s="13"/>
      <c r="K71" s="13" t="s">
        <v>89</v>
      </c>
      <c r="L71" s="13" t="s">
        <v>128</v>
      </c>
      <c r="M71" s="13">
        <v>24.5</v>
      </c>
      <c r="N71" s="13">
        <v>2</v>
      </c>
      <c r="O71" s="17">
        <v>49</v>
      </c>
      <c r="P71" s="17"/>
    </row>
    <row r="72" spans="1:18" ht="28.8" x14ac:dyDescent="0.25">
      <c r="A72" s="13">
        <v>12</v>
      </c>
      <c r="B72" s="13" t="s">
        <v>62</v>
      </c>
      <c r="C72" s="13" t="s">
        <v>402</v>
      </c>
      <c r="D72" s="13">
        <v>2</v>
      </c>
      <c r="E72" s="13" t="s">
        <v>348</v>
      </c>
      <c r="F72" s="15">
        <v>2</v>
      </c>
      <c r="G72" s="13" t="s">
        <v>10</v>
      </c>
      <c r="H72" s="13" t="s">
        <v>34</v>
      </c>
      <c r="I72" s="13" t="s">
        <v>78</v>
      </c>
      <c r="J72" s="13" t="s">
        <v>199</v>
      </c>
      <c r="K72" s="13" t="s">
        <v>194</v>
      </c>
      <c r="L72" s="20" t="s">
        <v>200</v>
      </c>
      <c r="M72" s="13">
        <v>11.8</v>
      </c>
      <c r="N72" s="13">
        <v>2</v>
      </c>
      <c r="O72" s="17">
        <v>23.6</v>
      </c>
      <c r="P72" s="17"/>
    </row>
    <row r="73" spans="1:18" ht="28.8" x14ac:dyDescent="0.25">
      <c r="A73" s="13">
        <v>13</v>
      </c>
      <c r="B73" s="13" t="s">
        <v>62</v>
      </c>
      <c r="C73" s="13" t="s">
        <v>402</v>
      </c>
      <c r="D73" s="13">
        <v>2</v>
      </c>
      <c r="E73" s="13" t="s">
        <v>348</v>
      </c>
      <c r="F73" s="15">
        <v>2</v>
      </c>
      <c r="G73" s="13" t="s">
        <v>10</v>
      </c>
      <c r="H73" s="13" t="s">
        <v>34</v>
      </c>
      <c r="I73" s="13" t="s">
        <v>78</v>
      </c>
      <c r="J73" s="13" t="s">
        <v>199</v>
      </c>
      <c r="K73" s="13" t="s">
        <v>194</v>
      </c>
      <c r="L73" s="13" t="s">
        <v>129</v>
      </c>
      <c r="M73" s="13">
        <v>11.8</v>
      </c>
      <c r="N73" s="13">
        <v>2</v>
      </c>
      <c r="O73" s="17">
        <v>22.9</v>
      </c>
      <c r="P73" s="17"/>
    </row>
    <row r="74" spans="1:18" ht="28.8" x14ac:dyDescent="0.25">
      <c r="A74" s="13">
        <v>49</v>
      </c>
      <c r="B74" s="13" t="s">
        <v>62</v>
      </c>
      <c r="C74" s="13" t="s">
        <v>402</v>
      </c>
      <c r="D74" s="13">
        <v>20</v>
      </c>
      <c r="E74" s="13" t="s">
        <v>348</v>
      </c>
      <c r="F74" s="15">
        <v>20</v>
      </c>
      <c r="G74" s="13" t="s">
        <v>10</v>
      </c>
      <c r="H74" s="13" t="s">
        <v>34</v>
      </c>
      <c r="I74" s="13" t="s">
        <v>78</v>
      </c>
      <c r="J74" s="13" t="s">
        <v>199</v>
      </c>
      <c r="K74" s="13" t="s">
        <v>194</v>
      </c>
      <c r="L74" s="19" t="s">
        <v>171</v>
      </c>
      <c r="M74" s="19">
        <v>3.74</v>
      </c>
      <c r="N74" s="19">
        <v>20</v>
      </c>
      <c r="O74" s="19">
        <v>74.8</v>
      </c>
      <c r="P74" s="13"/>
    </row>
    <row r="75" spans="1:18" x14ac:dyDescent="0.25">
      <c r="A75" s="13">
        <v>50</v>
      </c>
      <c r="B75" s="13" t="s">
        <v>62</v>
      </c>
      <c r="C75" s="13" t="s">
        <v>402</v>
      </c>
      <c r="D75" s="13">
        <v>10</v>
      </c>
      <c r="E75" s="13" t="s">
        <v>348</v>
      </c>
      <c r="F75" s="15">
        <v>10</v>
      </c>
      <c r="G75" s="13" t="s">
        <v>10</v>
      </c>
      <c r="H75" s="13" t="s">
        <v>34</v>
      </c>
      <c r="I75" s="13" t="s">
        <v>78</v>
      </c>
      <c r="J75" s="13" t="s">
        <v>212</v>
      </c>
      <c r="K75" s="13" t="s">
        <v>194</v>
      </c>
      <c r="L75" s="19" t="s">
        <v>172</v>
      </c>
      <c r="M75" s="19">
        <v>1.8</v>
      </c>
      <c r="N75" s="19">
        <v>10</v>
      </c>
      <c r="O75" s="19">
        <v>18</v>
      </c>
      <c r="P75" s="13"/>
    </row>
    <row r="76" spans="1:18" x14ac:dyDescent="0.25">
      <c r="A76" s="13">
        <v>51</v>
      </c>
      <c r="B76" s="13" t="s">
        <v>62</v>
      </c>
      <c r="C76" s="13" t="s">
        <v>402</v>
      </c>
      <c r="D76" s="13">
        <v>20</v>
      </c>
      <c r="E76" s="13" t="s">
        <v>348</v>
      </c>
      <c r="F76" s="15">
        <v>20</v>
      </c>
      <c r="G76" s="13" t="s">
        <v>10</v>
      </c>
      <c r="H76" s="13" t="s">
        <v>34</v>
      </c>
      <c r="I76" s="13" t="s">
        <v>78</v>
      </c>
      <c r="J76" s="13" t="s">
        <v>213</v>
      </c>
      <c r="K76" s="13" t="s">
        <v>194</v>
      </c>
      <c r="L76" s="19" t="s">
        <v>173</v>
      </c>
      <c r="M76" s="19">
        <v>1.1599999999999999</v>
      </c>
      <c r="N76" s="19">
        <v>20</v>
      </c>
      <c r="O76" s="19">
        <v>23.2</v>
      </c>
      <c r="P76" s="13"/>
    </row>
    <row r="77" spans="1:18" x14ac:dyDescent="0.25">
      <c r="A77" s="13">
        <v>52</v>
      </c>
      <c r="B77" s="13" t="s">
        <v>62</v>
      </c>
      <c r="C77" s="13" t="s">
        <v>402</v>
      </c>
      <c r="D77" s="13">
        <v>20</v>
      </c>
      <c r="E77" s="13" t="s">
        <v>348</v>
      </c>
      <c r="F77" s="15">
        <v>20</v>
      </c>
      <c r="G77" s="13" t="s">
        <v>10</v>
      </c>
      <c r="H77" s="13" t="s">
        <v>34</v>
      </c>
      <c r="I77" s="13" t="s">
        <v>78</v>
      </c>
      <c r="J77" s="13" t="s">
        <v>214</v>
      </c>
      <c r="K77" s="13" t="s">
        <v>194</v>
      </c>
      <c r="L77" s="19" t="s">
        <v>174</v>
      </c>
      <c r="M77" s="19">
        <v>1.64</v>
      </c>
      <c r="N77" s="19">
        <v>20</v>
      </c>
      <c r="O77" s="19">
        <v>32.799999999999997</v>
      </c>
      <c r="P77" s="13"/>
    </row>
    <row r="78" spans="1:18" x14ac:dyDescent="0.25">
      <c r="A78" s="13">
        <v>53</v>
      </c>
      <c r="B78" s="13" t="s">
        <v>62</v>
      </c>
      <c r="C78" s="13" t="s">
        <v>402</v>
      </c>
      <c r="D78" s="13">
        <v>30</v>
      </c>
      <c r="E78" s="13" t="s">
        <v>348</v>
      </c>
      <c r="F78" s="15">
        <v>30</v>
      </c>
      <c r="G78" s="13" t="s">
        <v>10</v>
      </c>
      <c r="H78" s="13" t="s">
        <v>34</v>
      </c>
      <c r="I78" s="13" t="s">
        <v>78</v>
      </c>
      <c r="J78" s="13" t="s">
        <v>215</v>
      </c>
      <c r="K78" s="13" t="s">
        <v>194</v>
      </c>
      <c r="L78" s="19" t="s">
        <v>175</v>
      </c>
      <c r="M78" s="19">
        <v>1.92</v>
      </c>
      <c r="N78" s="19">
        <v>30</v>
      </c>
      <c r="O78" s="19">
        <v>57.6</v>
      </c>
      <c r="P78" s="13"/>
    </row>
    <row r="79" spans="1:18" x14ac:dyDescent="0.25">
      <c r="A79" s="13">
        <v>54</v>
      </c>
      <c r="B79" s="13" t="s">
        <v>62</v>
      </c>
      <c r="C79" s="13" t="s">
        <v>402</v>
      </c>
      <c r="D79" s="13">
        <v>1</v>
      </c>
      <c r="E79" s="13" t="s">
        <v>348</v>
      </c>
      <c r="F79" s="15">
        <v>1</v>
      </c>
      <c r="G79" s="13" t="s">
        <v>10</v>
      </c>
      <c r="H79" s="13" t="s">
        <v>34</v>
      </c>
      <c r="I79" s="13" t="s">
        <v>78</v>
      </c>
      <c r="J79" s="13" t="s">
        <v>216</v>
      </c>
      <c r="K79" s="13" t="s">
        <v>194</v>
      </c>
      <c r="L79" s="19" t="s">
        <v>176</v>
      </c>
      <c r="M79" s="19">
        <v>2.4</v>
      </c>
      <c r="N79" s="19">
        <v>1</v>
      </c>
      <c r="O79" s="19">
        <v>2.4</v>
      </c>
      <c r="P79" s="13"/>
    </row>
    <row r="80" spans="1:18" x14ac:dyDescent="0.25">
      <c r="A80" s="13">
        <v>55</v>
      </c>
      <c r="B80" s="13" t="s">
        <v>62</v>
      </c>
      <c r="C80" s="13" t="s">
        <v>402</v>
      </c>
      <c r="D80" s="13">
        <v>1</v>
      </c>
      <c r="E80" s="13" t="s">
        <v>348</v>
      </c>
      <c r="F80" s="15">
        <v>1</v>
      </c>
      <c r="G80" s="13" t="s">
        <v>10</v>
      </c>
      <c r="H80" s="13" t="s">
        <v>34</v>
      </c>
      <c r="I80" s="13" t="s">
        <v>78</v>
      </c>
      <c r="J80" s="13" t="s">
        <v>217</v>
      </c>
      <c r="K80" s="13" t="s">
        <v>194</v>
      </c>
      <c r="L80" s="19" t="s">
        <v>177</v>
      </c>
      <c r="M80" s="19">
        <v>4.95</v>
      </c>
      <c r="N80" s="19">
        <v>1</v>
      </c>
      <c r="O80" s="19">
        <v>4.95</v>
      </c>
      <c r="P80" s="13"/>
    </row>
    <row r="81" spans="1:16" x14ac:dyDescent="0.25">
      <c r="A81" s="13">
        <v>56</v>
      </c>
      <c r="B81" s="13" t="s">
        <v>62</v>
      </c>
      <c r="C81" s="13" t="s">
        <v>402</v>
      </c>
      <c r="D81" s="13">
        <v>1</v>
      </c>
      <c r="E81" s="13" t="s">
        <v>348</v>
      </c>
      <c r="F81" s="15">
        <v>1</v>
      </c>
      <c r="G81" s="13" t="s">
        <v>10</v>
      </c>
      <c r="H81" s="13" t="s">
        <v>34</v>
      </c>
      <c r="I81" s="13" t="s">
        <v>78</v>
      </c>
      <c r="J81" s="13" t="s">
        <v>218</v>
      </c>
      <c r="K81" s="13" t="s">
        <v>194</v>
      </c>
      <c r="L81" s="19" t="s">
        <v>178</v>
      </c>
      <c r="M81" s="19">
        <v>5.4</v>
      </c>
      <c r="N81" s="19">
        <v>1</v>
      </c>
      <c r="O81" s="19">
        <v>5.4</v>
      </c>
      <c r="P81" s="13"/>
    </row>
    <row r="82" spans="1:16" x14ac:dyDescent="0.25">
      <c r="A82" s="13">
        <v>57</v>
      </c>
      <c r="B82" s="13" t="s">
        <v>62</v>
      </c>
      <c r="C82" s="13" t="s">
        <v>402</v>
      </c>
      <c r="D82" s="13">
        <v>5</v>
      </c>
      <c r="E82" s="13" t="s">
        <v>348</v>
      </c>
      <c r="F82" s="15">
        <v>5</v>
      </c>
      <c r="G82" s="13" t="s">
        <v>10</v>
      </c>
      <c r="H82" s="13" t="s">
        <v>34</v>
      </c>
      <c r="I82" s="13" t="s">
        <v>78</v>
      </c>
      <c r="J82" s="13" t="s">
        <v>219</v>
      </c>
      <c r="K82" s="13" t="s">
        <v>194</v>
      </c>
      <c r="L82" s="19" t="s">
        <v>179</v>
      </c>
      <c r="M82" s="19">
        <v>2.0699999999999998</v>
      </c>
      <c r="N82" s="19">
        <v>5</v>
      </c>
      <c r="O82" s="19">
        <v>10.35</v>
      </c>
      <c r="P82" s="13"/>
    </row>
    <row r="83" spans="1:16" x14ac:dyDescent="0.25">
      <c r="A83" s="13">
        <v>58</v>
      </c>
      <c r="B83" s="13" t="s">
        <v>62</v>
      </c>
      <c r="C83" s="13" t="s">
        <v>402</v>
      </c>
      <c r="D83" s="13">
        <v>5</v>
      </c>
      <c r="E83" s="13" t="s">
        <v>348</v>
      </c>
      <c r="F83" s="15">
        <v>5</v>
      </c>
      <c r="G83" s="13" t="s">
        <v>10</v>
      </c>
      <c r="H83" s="13" t="s">
        <v>34</v>
      </c>
      <c r="I83" s="13" t="s">
        <v>78</v>
      </c>
      <c r="J83" s="13" t="s">
        <v>220</v>
      </c>
      <c r="K83" s="13" t="s">
        <v>194</v>
      </c>
      <c r="L83" s="19" t="s">
        <v>180</v>
      </c>
      <c r="M83" s="19">
        <v>1.1299999999999999</v>
      </c>
      <c r="N83" s="19">
        <v>5</v>
      </c>
      <c r="O83" s="19">
        <v>5.65</v>
      </c>
      <c r="P83" s="13"/>
    </row>
    <row r="84" spans="1:16" x14ac:dyDescent="0.25">
      <c r="A84" s="13">
        <v>59</v>
      </c>
      <c r="B84" s="13" t="s">
        <v>62</v>
      </c>
      <c r="C84" s="13" t="s">
        <v>402</v>
      </c>
      <c r="D84" s="13">
        <v>10</v>
      </c>
      <c r="E84" s="13" t="s">
        <v>348</v>
      </c>
      <c r="F84" s="15">
        <v>10</v>
      </c>
      <c r="G84" s="13" t="s">
        <v>10</v>
      </c>
      <c r="H84" s="13" t="s">
        <v>34</v>
      </c>
      <c r="I84" s="13" t="s">
        <v>78</v>
      </c>
      <c r="J84" s="13" t="s">
        <v>221</v>
      </c>
      <c r="K84" s="13" t="s">
        <v>194</v>
      </c>
      <c r="L84" s="19" t="s">
        <v>181</v>
      </c>
      <c r="M84" s="19">
        <v>1.17</v>
      </c>
      <c r="N84" s="19">
        <v>10</v>
      </c>
      <c r="O84" s="19">
        <v>11.7</v>
      </c>
      <c r="P84" s="13"/>
    </row>
    <row r="85" spans="1:16" x14ac:dyDescent="0.25">
      <c r="A85" s="13">
        <v>60</v>
      </c>
      <c r="B85" s="13" t="s">
        <v>62</v>
      </c>
      <c r="C85" s="13" t="s">
        <v>402</v>
      </c>
      <c r="D85" s="13">
        <v>5</v>
      </c>
      <c r="E85" s="13" t="s">
        <v>348</v>
      </c>
      <c r="F85" s="15">
        <v>5</v>
      </c>
      <c r="G85" s="13" t="s">
        <v>10</v>
      </c>
      <c r="H85" s="13" t="s">
        <v>34</v>
      </c>
      <c r="I85" s="13" t="s">
        <v>78</v>
      </c>
      <c r="J85" s="13" t="s">
        <v>222</v>
      </c>
      <c r="K85" s="13" t="s">
        <v>194</v>
      </c>
      <c r="L85" s="19" t="s">
        <v>182</v>
      </c>
      <c r="M85" s="19">
        <v>0.98</v>
      </c>
      <c r="N85" s="19">
        <v>5</v>
      </c>
      <c r="O85" s="19">
        <v>4.9000000000000004</v>
      </c>
      <c r="P85" s="13"/>
    </row>
    <row r="86" spans="1:16" x14ac:dyDescent="0.25">
      <c r="A86" s="13">
        <v>61</v>
      </c>
      <c r="B86" s="13" t="s">
        <v>62</v>
      </c>
      <c r="C86" s="13" t="s">
        <v>402</v>
      </c>
      <c r="D86" s="13">
        <v>5</v>
      </c>
      <c r="E86" s="13" t="s">
        <v>348</v>
      </c>
      <c r="F86" s="15">
        <v>5</v>
      </c>
      <c r="G86" s="13" t="s">
        <v>10</v>
      </c>
      <c r="H86" s="13" t="s">
        <v>34</v>
      </c>
      <c r="I86" s="13" t="s">
        <v>78</v>
      </c>
      <c r="J86" s="13" t="s">
        <v>223</v>
      </c>
      <c r="K86" s="13" t="s">
        <v>194</v>
      </c>
      <c r="L86" s="19" t="s">
        <v>183</v>
      </c>
      <c r="M86" s="19">
        <v>1.32</v>
      </c>
      <c r="N86" s="19">
        <v>5</v>
      </c>
      <c r="O86" s="19">
        <v>6.6</v>
      </c>
      <c r="P86" s="13"/>
    </row>
    <row r="87" spans="1:16" x14ac:dyDescent="0.25">
      <c r="A87" s="13">
        <v>62</v>
      </c>
      <c r="B87" s="13" t="s">
        <v>62</v>
      </c>
      <c r="C87" s="13" t="s">
        <v>402</v>
      </c>
      <c r="D87" s="13">
        <v>10</v>
      </c>
      <c r="E87" s="13" t="s">
        <v>348</v>
      </c>
      <c r="F87" s="15">
        <v>10</v>
      </c>
      <c r="G87" s="13" t="s">
        <v>10</v>
      </c>
      <c r="H87" s="13" t="s">
        <v>34</v>
      </c>
      <c r="I87" s="13" t="s">
        <v>78</v>
      </c>
      <c r="J87" s="13" t="s">
        <v>224</v>
      </c>
      <c r="K87" s="13" t="s">
        <v>194</v>
      </c>
      <c r="L87" s="19" t="s">
        <v>184</v>
      </c>
      <c r="M87" s="19">
        <v>0.94</v>
      </c>
      <c r="N87" s="19">
        <v>10</v>
      </c>
      <c r="O87" s="19">
        <v>9.4</v>
      </c>
      <c r="P87" s="13"/>
    </row>
    <row r="88" spans="1:16" x14ac:dyDescent="0.25">
      <c r="A88" s="13">
        <v>63</v>
      </c>
      <c r="B88" s="13" t="s">
        <v>62</v>
      </c>
      <c r="C88" s="13" t="s">
        <v>402</v>
      </c>
      <c r="D88" s="13">
        <v>10</v>
      </c>
      <c r="E88" s="13" t="s">
        <v>348</v>
      </c>
      <c r="F88" s="15">
        <v>10</v>
      </c>
      <c r="G88" s="13" t="s">
        <v>10</v>
      </c>
      <c r="H88" s="13" t="s">
        <v>34</v>
      </c>
      <c r="I88" s="13" t="s">
        <v>78</v>
      </c>
      <c r="J88" s="13" t="s">
        <v>225</v>
      </c>
      <c r="K88" s="13" t="s">
        <v>194</v>
      </c>
      <c r="L88" s="19" t="s">
        <v>185</v>
      </c>
      <c r="M88" s="19">
        <v>1.75</v>
      </c>
      <c r="N88" s="19">
        <v>10</v>
      </c>
      <c r="O88" s="19">
        <v>17.5</v>
      </c>
      <c r="P88" s="13"/>
    </row>
    <row r="89" spans="1:16" x14ac:dyDescent="0.25">
      <c r="A89" s="13">
        <v>64</v>
      </c>
      <c r="B89" s="13" t="s">
        <v>62</v>
      </c>
      <c r="C89" s="13" t="s">
        <v>402</v>
      </c>
      <c r="D89" s="13">
        <v>10</v>
      </c>
      <c r="E89" s="13" t="s">
        <v>348</v>
      </c>
      <c r="F89" s="15">
        <v>10</v>
      </c>
      <c r="G89" s="13" t="s">
        <v>10</v>
      </c>
      <c r="H89" s="13" t="s">
        <v>34</v>
      </c>
      <c r="I89" s="13" t="s">
        <v>78</v>
      </c>
      <c r="J89" s="13" t="s">
        <v>226</v>
      </c>
      <c r="K89" s="13" t="s">
        <v>194</v>
      </c>
      <c r="L89" s="19" t="s">
        <v>186</v>
      </c>
      <c r="M89" s="19">
        <v>1.32</v>
      </c>
      <c r="N89" s="19">
        <v>10</v>
      </c>
      <c r="O89" s="19">
        <v>13.2</v>
      </c>
      <c r="P89" s="13"/>
    </row>
    <row r="90" spans="1:16" x14ac:dyDescent="0.25">
      <c r="A90" s="13">
        <v>65</v>
      </c>
      <c r="B90" s="13" t="s">
        <v>62</v>
      </c>
      <c r="C90" s="13" t="s">
        <v>402</v>
      </c>
      <c r="D90" s="13">
        <v>31</v>
      </c>
      <c r="E90" s="13" t="s">
        <v>348</v>
      </c>
      <c r="F90" s="15">
        <v>31</v>
      </c>
      <c r="G90" s="13" t="s">
        <v>10</v>
      </c>
      <c r="H90" s="13" t="s">
        <v>34</v>
      </c>
      <c r="I90" s="13" t="s">
        <v>78</v>
      </c>
      <c r="J90" s="13" t="s">
        <v>227</v>
      </c>
      <c r="K90" s="13" t="s">
        <v>194</v>
      </c>
      <c r="L90" s="19" t="s">
        <v>187</v>
      </c>
      <c r="M90" s="19">
        <v>1.25</v>
      </c>
      <c r="N90" s="19">
        <v>31</v>
      </c>
      <c r="O90" s="19">
        <v>38.75</v>
      </c>
      <c r="P90" s="13"/>
    </row>
    <row r="91" spans="1:16" x14ac:dyDescent="0.25">
      <c r="A91" s="13">
        <v>66</v>
      </c>
      <c r="B91" s="13" t="s">
        <v>62</v>
      </c>
      <c r="C91" s="13" t="s">
        <v>402</v>
      </c>
      <c r="D91" s="13">
        <v>10</v>
      </c>
      <c r="E91" s="13" t="s">
        <v>348</v>
      </c>
      <c r="F91" s="15">
        <v>10</v>
      </c>
      <c r="G91" s="13" t="s">
        <v>10</v>
      </c>
      <c r="H91" s="13" t="s">
        <v>34</v>
      </c>
      <c r="I91" s="13" t="s">
        <v>78</v>
      </c>
      <c r="J91" s="13" t="s">
        <v>228</v>
      </c>
      <c r="K91" s="13" t="s">
        <v>194</v>
      </c>
      <c r="L91" s="19" t="s">
        <v>188</v>
      </c>
      <c r="M91" s="19">
        <v>0.76</v>
      </c>
      <c r="N91" s="19">
        <v>10</v>
      </c>
      <c r="O91" s="19">
        <v>7.6</v>
      </c>
      <c r="P91" s="13"/>
    </row>
    <row r="92" spans="1:16" x14ac:dyDescent="0.25">
      <c r="A92" s="13">
        <v>67</v>
      </c>
      <c r="B92" s="13" t="s">
        <v>62</v>
      </c>
      <c r="C92" s="13" t="s">
        <v>402</v>
      </c>
      <c r="D92" s="13">
        <v>10</v>
      </c>
      <c r="E92" s="13" t="s">
        <v>348</v>
      </c>
      <c r="F92" s="15">
        <v>10</v>
      </c>
      <c r="G92" s="13" t="s">
        <v>10</v>
      </c>
      <c r="H92" s="13" t="s">
        <v>34</v>
      </c>
      <c r="I92" s="13" t="s">
        <v>78</v>
      </c>
      <c r="J92" s="13" t="s">
        <v>229</v>
      </c>
      <c r="K92" s="13" t="s">
        <v>194</v>
      </c>
      <c r="L92" s="19" t="s">
        <v>189</v>
      </c>
      <c r="M92" s="19">
        <v>0.8</v>
      </c>
      <c r="N92" s="19">
        <v>10</v>
      </c>
      <c r="O92" s="19">
        <v>8</v>
      </c>
      <c r="P92" s="13"/>
    </row>
    <row r="93" spans="1:16" x14ac:dyDescent="0.25">
      <c r="A93" s="13">
        <v>68</v>
      </c>
      <c r="B93" s="13" t="s">
        <v>62</v>
      </c>
      <c r="C93" s="13" t="s">
        <v>402</v>
      </c>
      <c r="D93" s="13">
        <v>10</v>
      </c>
      <c r="E93" s="13" t="s">
        <v>348</v>
      </c>
      <c r="F93" s="15">
        <v>10</v>
      </c>
      <c r="G93" s="13" t="s">
        <v>10</v>
      </c>
      <c r="H93" s="13" t="s">
        <v>34</v>
      </c>
      <c r="I93" s="13" t="s">
        <v>78</v>
      </c>
      <c r="J93" s="13" t="s">
        <v>230</v>
      </c>
      <c r="K93" s="13" t="s">
        <v>194</v>
      </c>
      <c r="L93" s="19" t="s">
        <v>190</v>
      </c>
      <c r="M93" s="19">
        <v>1.04</v>
      </c>
      <c r="N93" s="19">
        <v>10</v>
      </c>
      <c r="O93" s="19">
        <v>10.4</v>
      </c>
      <c r="P93" s="13"/>
    </row>
    <row r="94" spans="1:16" x14ac:dyDescent="0.25">
      <c r="A94" s="13">
        <v>69</v>
      </c>
      <c r="B94" s="13" t="s">
        <v>62</v>
      </c>
      <c r="C94" s="13" t="s">
        <v>402</v>
      </c>
      <c r="D94" s="13">
        <v>10</v>
      </c>
      <c r="E94" s="13" t="s">
        <v>348</v>
      </c>
      <c r="F94" s="15">
        <v>10</v>
      </c>
      <c r="G94" s="13" t="s">
        <v>10</v>
      </c>
      <c r="H94" s="13" t="s">
        <v>34</v>
      </c>
      <c r="I94" s="13" t="s">
        <v>78</v>
      </c>
      <c r="J94" s="13" t="s">
        <v>231</v>
      </c>
      <c r="K94" s="13" t="s">
        <v>194</v>
      </c>
      <c r="L94" s="19" t="s">
        <v>191</v>
      </c>
      <c r="M94" s="19">
        <v>1.56</v>
      </c>
      <c r="N94" s="19">
        <v>10</v>
      </c>
      <c r="O94" s="19">
        <v>15.6</v>
      </c>
      <c r="P94" s="13"/>
    </row>
    <row r="95" spans="1:16" x14ac:dyDescent="0.25">
      <c r="A95" s="13">
        <v>70</v>
      </c>
      <c r="B95" s="13" t="s">
        <v>62</v>
      </c>
      <c r="C95" s="13" t="s">
        <v>402</v>
      </c>
      <c r="D95" s="13">
        <v>10</v>
      </c>
      <c r="E95" s="13" t="s">
        <v>348</v>
      </c>
      <c r="F95" s="15">
        <v>10</v>
      </c>
      <c r="G95" s="13" t="s">
        <v>10</v>
      </c>
      <c r="H95" s="13" t="s">
        <v>34</v>
      </c>
      <c r="I95" s="13" t="s">
        <v>78</v>
      </c>
      <c r="J95" s="13" t="s">
        <v>222</v>
      </c>
      <c r="K95" s="13" t="s">
        <v>194</v>
      </c>
      <c r="L95" s="19" t="s">
        <v>192</v>
      </c>
      <c r="M95" s="19">
        <v>1.1299999999999999</v>
      </c>
      <c r="N95" s="19">
        <v>10</v>
      </c>
      <c r="O95" s="19">
        <v>11.3</v>
      </c>
      <c r="P95" s="13"/>
    </row>
    <row r="96" spans="1:16" x14ac:dyDescent="0.25">
      <c r="A96" s="13">
        <v>71</v>
      </c>
      <c r="B96" s="13" t="s">
        <v>62</v>
      </c>
      <c r="C96" s="13" t="s">
        <v>402</v>
      </c>
      <c r="D96" s="13">
        <v>5</v>
      </c>
      <c r="E96" s="13" t="s">
        <v>348</v>
      </c>
      <c r="F96" s="15">
        <v>5</v>
      </c>
      <c r="G96" s="13" t="s">
        <v>10</v>
      </c>
      <c r="H96" s="13" t="s">
        <v>34</v>
      </c>
      <c r="I96" s="13" t="s">
        <v>78</v>
      </c>
      <c r="J96" s="13" t="s">
        <v>222</v>
      </c>
      <c r="K96" s="13" t="s">
        <v>194</v>
      </c>
      <c r="L96" s="19" t="s">
        <v>193</v>
      </c>
      <c r="M96" s="19">
        <v>1.4</v>
      </c>
      <c r="N96" s="19">
        <v>5</v>
      </c>
      <c r="O96" s="19">
        <v>7</v>
      </c>
      <c r="P96" s="13"/>
    </row>
    <row r="97" spans="1:16" x14ac:dyDescent="0.25">
      <c r="A97" s="13">
        <v>138</v>
      </c>
      <c r="B97" s="13" t="s">
        <v>62</v>
      </c>
      <c r="C97" s="13" t="s">
        <v>402</v>
      </c>
      <c r="D97" s="13">
        <v>10</v>
      </c>
      <c r="E97" s="13" t="s">
        <v>348</v>
      </c>
      <c r="F97" s="15">
        <v>10</v>
      </c>
      <c r="G97" s="13" t="s">
        <v>10</v>
      </c>
      <c r="H97" s="13" t="s">
        <v>34</v>
      </c>
      <c r="I97" s="13" t="s">
        <v>78</v>
      </c>
      <c r="J97" s="13" t="s">
        <v>339</v>
      </c>
      <c r="K97" s="13" t="s">
        <v>195</v>
      </c>
      <c r="L97" s="13" t="s">
        <v>307</v>
      </c>
      <c r="M97" s="13">
        <v>2.0699999999999998</v>
      </c>
      <c r="N97" s="13">
        <v>10</v>
      </c>
      <c r="O97" s="13">
        <f t="shared" ref="O97:O106" si="2">M97*N97</f>
        <v>20.7</v>
      </c>
      <c r="P97" s="13"/>
    </row>
    <row r="98" spans="1:16" x14ac:dyDescent="0.25">
      <c r="A98" s="13">
        <v>139</v>
      </c>
      <c r="B98" s="13" t="s">
        <v>62</v>
      </c>
      <c r="C98" s="13" t="s">
        <v>402</v>
      </c>
      <c r="D98" s="13">
        <v>15</v>
      </c>
      <c r="E98" s="13" t="s">
        <v>348</v>
      </c>
      <c r="F98" s="15">
        <v>15</v>
      </c>
      <c r="G98" s="13" t="s">
        <v>10</v>
      </c>
      <c r="H98" s="13" t="s">
        <v>34</v>
      </c>
      <c r="I98" s="13" t="s">
        <v>78</v>
      </c>
      <c r="J98" s="13" t="s">
        <v>337</v>
      </c>
      <c r="K98" s="13" t="s">
        <v>195</v>
      </c>
      <c r="L98" s="13" t="s">
        <v>308</v>
      </c>
      <c r="M98" s="13">
        <v>2.0699999999999998</v>
      </c>
      <c r="N98" s="13">
        <v>15</v>
      </c>
      <c r="O98" s="13">
        <f t="shared" si="2"/>
        <v>31.049999999999997</v>
      </c>
      <c r="P98" s="13"/>
    </row>
    <row r="99" spans="1:16" x14ac:dyDescent="0.25">
      <c r="A99" s="13">
        <v>140</v>
      </c>
      <c r="B99" s="13" t="s">
        <v>62</v>
      </c>
      <c r="C99" s="13" t="s">
        <v>402</v>
      </c>
      <c r="D99" s="13">
        <v>10</v>
      </c>
      <c r="E99" s="13" t="s">
        <v>348</v>
      </c>
      <c r="F99" s="15">
        <v>10</v>
      </c>
      <c r="G99" s="13" t="s">
        <v>10</v>
      </c>
      <c r="H99" s="13" t="s">
        <v>34</v>
      </c>
      <c r="I99" s="13" t="s">
        <v>78</v>
      </c>
      <c r="J99" s="13" t="s">
        <v>338</v>
      </c>
      <c r="K99" s="13" t="s">
        <v>195</v>
      </c>
      <c r="L99" s="13" t="s">
        <v>309</v>
      </c>
      <c r="M99" s="13">
        <v>2.97</v>
      </c>
      <c r="N99" s="13">
        <v>10</v>
      </c>
      <c r="O99" s="13">
        <f t="shared" si="2"/>
        <v>29.700000000000003</v>
      </c>
      <c r="P99" s="13"/>
    </row>
    <row r="100" spans="1:16" x14ac:dyDescent="0.25">
      <c r="A100" s="13">
        <v>141</v>
      </c>
      <c r="B100" s="13" t="s">
        <v>62</v>
      </c>
      <c r="C100" s="13" t="s">
        <v>402</v>
      </c>
      <c r="D100" s="13">
        <v>15</v>
      </c>
      <c r="E100" s="13" t="s">
        <v>348</v>
      </c>
      <c r="F100" s="15">
        <v>15</v>
      </c>
      <c r="G100" s="13" t="s">
        <v>10</v>
      </c>
      <c r="H100" s="13" t="s">
        <v>34</v>
      </c>
      <c r="I100" s="13" t="s">
        <v>78</v>
      </c>
      <c r="J100" s="13" t="s">
        <v>340</v>
      </c>
      <c r="K100" s="13" t="s">
        <v>195</v>
      </c>
      <c r="L100" s="13" t="s">
        <v>310</v>
      </c>
      <c r="M100" s="13">
        <v>1.73</v>
      </c>
      <c r="N100" s="13">
        <v>15</v>
      </c>
      <c r="O100" s="13">
        <f t="shared" si="2"/>
        <v>25.95</v>
      </c>
      <c r="P100" s="13"/>
    </row>
    <row r="101" spans="1:16" x14ac:dyDescent="0.25">
      <c r="A101" s="13">
        <v>142</v>
      </c>
      <c r="B101" s="13" t="s">
        <v>62</v>
      </c>
      <c r="C101" s="13" t="s">
        <v>402</v>
      </c>
      <c r="D101" s="13">
        <v>10</v>
      </c>
      <c r="E101" s="13" t="s">
        <v>348</v>
      </c>
      <c r="F101" s="15">
        <v>10</v>
      </c>
      <c r="G101" s="13" t="s">
        <v>10</v>
      </c>
      <c r="H101" s="13" t="s">
        <v>34</v>
      </c>
      <c r="I101" s="13" t="s">
        <v>78</v>
      </c>
      <c r="J101" s="13" t="s">
        <v>341</v>
      </c>
      <c r="K101" s="13" t="s">
        <v>195</v>
      </c>
      <c r="L101" s="13" t="s">
        <v>311</v>
      </c>
      <c r="M101" s="13">
        <v>1.36</v>
      </c>
      <c r="N101" s="13">
        <v>10</v>
      </c>
      <c r="O101" s="13">
        <f t="shared" si="2"/>
        <v>13.600000000000001</v>
      </c>
      <c r="P101" s="13"/>
    </row>
    <row r="102" spans="1:16" x14ac:dyDescent="0.25">
      <c r="A102" s="13">
        <v>143</v>
      </c>
      <c r="B102" s="13" t="s">
        <v>62</v>
      </c>
      <c r="C102" s="13" t="s">
        <v>402</v>
      </c>
      <c r="D102" s="13">
        <v>10</v>
      </c>
      <c r="E102" s="13" t="s">
        <v>348</v>
      </c>
      <c r="F102" s="15">
        <v>10</v>
      </c>
      <c r="G102" s="13" t="s">
        <v>10</v>
      </c>
      <c r="H102" s="13" t="s">
        <v>34</v>
      </c>
      <c r="I102" s="13" t="s">
        <v>78</v>
      </c>
      <c r="J102" s="13" t="s">
        <v>342</v>
      </c>
      <c r="K102" s="13" t="s">
        <v>195</v>
      </c>
      <c r="L102" s="13" t="s">
        <v>312</v>
      </c>
      <c r="M102" s="13">
        <v>1.23</v>
      </c>
      <c r="N102" s="13">
        <v>10</v>
      </c>
      <c r="O102" s="13">
        <f t="shared" si="2"/>
        <v>12.3</v>
      </c>
      <c r="P102" s="13"/>
    </row>
    <row r="103" spans="1:16" x14ac:dyDescent="0.25">
      <c r="A103" s="13">
        <v>144</v>
      </c>
      <c r="B103" s="13" t="s">
        <v>62</v>
      </c>
      <c r="C103" s="13" t="s">
        <v>402</v>
      </c>
      <c r="D103" s="13">
        <v>15</v>
      </c>
      <c r="E103" s="13" t="s">
        <v>348</v>
      </c>
      <c r="F103" s="15">
        <v>15</v>
      </c>
      <c r="G103" s="13" t="s">
        <v>10</v>
      </c>
      <c r="H103" s="13" t="s">
        <v>34</v>
      </c>
      <c r="I103" s="13" t="s">
        <v>78</v>
      </c>
      <c r="J103" s="13" t="s">
        <v>343</v>
      </c>
      <c r="K103" s="13" t="s">
        <v>195</v>
      </c>
      <c r="L103" s="13" t="s">
        <v>313</v>
      </c>
      <c r="M103" s="13">
        <v>1.73</v>
      </c>
      <c r="N103" s="13">
        <v>15</v>
      </c>
      <c r="O103" s="13">
        <f t="shared" si="2"/>
        <v>25.95</v>
      </c>
      <c r="P103" s="13"/>
    </row>
    <row r="104" spans="1:16" x14ac:dyDescent="0.25">
      <c r="A104" s="13">
        <v>145</v>
      </c>
      <c r="B104" s="13" t="s">
        <v>62</v>
      </c>
      <c r="C104" s="13" t="s">
        <v>402</v>
      </c>
      <c r="D104" s="13">
        <v>10</v>
      </c>
      <c r="E104" s="13" t="s">
        <v>348</v>
      </c>
      <c r="F104" s="15">
        <v>10</v>
      </c>
      <c r="G104" s="13" t="s">
        <v>10</v>
      </c>
      <c r="H104" s="13" t="s">
        <v>34</v>
      </c>
      <c r="I104" s="13" t="s">
        <v>78</v>
      </c>
      <c r="J104" s="13" t="s">
        <v>197</v>
      </c>
      <c r="K104" s="13" t="s">
        <v>195</v>
      </c>
      <c r="L104" s="13" t="s">
        <v>314</v>
      </c>
      <c r="M104" s="13">
        <v>0.99</v>
      </c>
      <c r="N104" s="13">
        <v>10</v>
      </c>
      <c r="O104" s="13">
        <f t="shared" si="2"/>
        <v>9.9</v>
      </c>
      <c r="P104" s="13"/>
    </row>
    <row r="105" spans="1:16" x14ac:dyDescent="0.25">
      <c r="A105" s="13">
        <v>146</v>
      </c>
      <c r="B105" s="13" t="s">
        <v>62</v>
      </c>
      <c r="C105" s="13" t="s">
        <v>402</v>
      </c>
      <c r="D105" s="13">
        <v>10</v>
      </c>
      <c r="E105" s="13" t="s">
        <v>348</v>
      </c>
      <c r="F105" s="15">
        <v>10</v>
      </c>
      <c r="G105" s="13" t="s">
        <v>10</v>
      </c>
      <c r="H105" s="13" t="s">
        <v>34</v>
      </c>
      <c r="I105" s="13" t="s">
        <v>78</v>
      </c>
      <c r="J105" s="13" t="s">
        <v>344</v>
      </c>
      <c r="K105" s="13" t="s">
        <v>195</v>
      </c>
      <c r="L105" s="13" t="s">
        <v>315</v>
      </c>
      <c r="M105" s="13">
        <v>2.4700000000000002</v>
      </c>
      <c r="N105" s="13">
        <v>10</v>
      </c>
      <c r="O105" s="13">
        <f t="shared" si="2"/>
        <v>24.700000000000003</v>
      </c>
      <c r="P105" s="13"/>
    </row>
    <row r="106" spans="1:16" x14ac:dyDescent="0.25">
      <c r="A106" s="13">
        <v>151</v>
      </c>
      <c r="B106" s="13" t="s">
        <v>62</v>
      </c>
      <c r="C106" s="13" t="s">
        <v>75</v>
      </c>
      <c r="D106" s="13">
        <v>5</v>
      </c>
      <c r="E106" s="13" t="s">
        <v>367</v>
      </c>
      <c r="F106" s="15">
        <v>5</v>
      </c>
      <c r="G106" s="13" t="s">
        <v>10</v>
      </c>
      <c r="H106" s="13" t="s">
        <v>60</v>
      </c>
      <c r="I106" s="13" t="s">
        <v>76</v>
      </c>
      <c r="J106" s="13"/>
      <c r="K106" s="13" t="s">
        <v>327</v>
      </c>
      <c r="L106" s="13" t="s">
        <v>328</v>
      </c>
      <c r="M106" s="13">
        <v>100</v>
      </c>
      <c r="N106" s="13">
        <v>5</v>
      </c>
      <c r="O106" s="13">
        <f t="shared" si="2"/>
        <v>500</v>
      </c>
      <c r="P106" s="13"/>
    </row>
    <row r="107" spans="1:16" x14ac:dyDescent="0.25">
      <c r="A107" s="13">
        <v>25</v>
      </c>
      <c r="B107" s="13" t="s">
        <v>62</v>
      </c>
      <c r="C107" s="13" t="s">
        <v>75</v>
      </c>
      <c r="D107" s="13">
        <v>15</v>
      </c>
      <c r="E107" s="13" t="s">
        <v>355</v>
      </c>
      <c r="F107" s="15">
        <v>15</v>
      </c>
      <c r="G107" s="13" t="s">
        <v>10</v>
      </c>
      <c r="H107" s="13" t="s">
        <v>60</v>
      </c>
      <c r="I107" s="13" t="s">
        <v>76</v>
      </c>
      <c r="J107" s="13"/>
      <c r="K107" s="13" t="s">
        <v>89</v>
      </c>
      <c r="L107" s="13" t="s">
        <v>140</v>
      </c>
      <c r="M107" s="13">
        <v>40</v>
      </c>
      <c r="N107" s="13">
        <v>15</v>
      </c>
      <c r="O107" s="17">
        <v>618</v>
      </c>
      <c r="P107" s="18" t="s">
        <v>153</v>
      </c>
    </row>
    <row r="108" spans="1:16" x14ac:dyDescent="0.25">
      <c r="A108" s="13">
        <v>110</v>
      </c>
      <c r="B108" s="13" t="s">
        <v>62</v>
      </c>
      <c r="C108" s="13" t="s">
        <v>75</v>
      </c>
      <c r="D108" s="13">
        <v>39</v>
      </c>
      <c r="E108" s="13" t="s">
        <v>355</v>
      </c>
      <c r="F108" s="15">
        <v>39</v>
      </c>
      <c r="G108" s="13" t="s">
        <v>10</v>
      </c>
      <c r="H108" s="13" t="s">
        <v>30</v>
      </c>
      <c r="I108" s="13" t="s">
        <v>78</v>
      </c>
      <c r="J108" s="13"/>
      <c r="K108" s="13" t="s">
        <v>273</v>
      </c>
      <c r="L108" s="13" t="s">
        <v>274</v>
      </c>
      <c r="M108" s="13">
        <v>10</v>
      </c>
      <c r="N108" s="13">
        <v>39</v>
      </c>
      <c r="O108" s="13">
        <f>M108*N108</f>
        <v>390</v>
      </c>
      <c r="P108" s="13"/>
    </row>
    <row r="109" spans="1:16" x14ac:dyDescent="0.25">
      <c r="A109" s="13">
        <v>103</v>
      </c>
      <c r="B109" s="13" t="s">
        <v>399</v>
      </c>
      <c r="C109" s="13" t="s">
        <v>399</v>
      </c>
      <c r="D109" s="13">
        <v>3</v>
      </c>
      <c r="E109" s="13" t="s">
        <v>383</v>
      </c>
      <c r="F109" s="15">
        <v>3</v>
      </c>
      <c r="G109" s="13" t="s">
        <v>16</v>
      </c>
      <c r="H109" s="13" t="s">
        <v>156</v>
      </c>
      <c r="I109" s="13" t="s">
        <v>78</v>
      </c>
      <c r="J109" s="13"/>
      <c r="K109" s="13" t="s">
        <v>260</v>
      </c>
      <c r="L109" s="13" t="s">
        <v>259</v>
      </c>
      <c r="M109" s="13">
        <v>35</v>
      </c>
      <c r="N109" s="13">
        <v>3</v>
      </c>
      <c r="O109" s="13">
        <f>M109*N109</f>
        <v>105</v>
      </c>
      <c r="P109" s="13"/>
    </row>
    <row r="110" spans="1:16" x14ac:dyDescent="0.25">
      <c r="A110" s="13">
        <v>100</v>
      </c>
      <c r="B110" s="13" t="s">
        <v>399</v>
      </c>
      <c r="C110" s="13" t="s">
        <v>399</v>
      </c>
      <c r="D110" s="13">
        <v>3</v>
      </c>
      <c r="E110" s="13" t="s">
        <v>381</v>
      </c>
      <c r="F110" s="15">
        <v>3</v>
      </c>
      <c r="G110" s="13" t="s">
        <v>16</v>
      </c>
      <c r="H110" s="13" t="s">
        <v>156</v>
      </c>
      <c r="I110" s="13" t="s">
        <v>78</v>
      </c>
      <c r="J110" s="13"/>
      <c r="K110" s="13" t="s">
        <v>260</v>
      </c>
      <c r="L110" s="13" t="s">
        <v>256</v>
      </c>
      <c r="M110" s="13">
        <v>6</v>
      </c>
      <c r="N110" s="13">
        <v>3</v>
      </c>
      <c r="O110" s="13">
        <f>M110*N110</f>
        <v>18</v>
      </c>
      <c r="P110" s="13"/>
    </row>
    <row r="111" spans="1:16" x14ac:dyDescent="0.25">
      <c r="A111" s="13">
        <v>101</v>
      </c>
      <c r="B111" s="13" t="s">
        <v>399</v>
      </c>
      <c r="C111" s="13" t="s">
        <v>399</v>
      </c>
      <c r="D111" s="13">
        <v>3</v>
      </c>
      <c r="E111" s="13" t="s">
        <v>381</v>
      </c>
      <c r="F111" s="15">
        <v>3</v>
      </c>
      <c r="G111" s="13" t="s">
        <v>16</v>
      </c>
      <c r="H111" s="13" t="s">
        <v>156</v>
      </c>
      <c r="I111" s="13" t="s">
        <v>78</v>
      </c>
      <c r="J111" s="13"/>
      <c r="K111" s="13" t="s">
        <v>260</v>
      </c>
      <c r="L111" s="13" t="s">
        <v>257</v>
      </c>
      <c r="M111" s="13">
        <v>12</v>
      </c>
      <c r="N111" s="13">
        <v>3</v>
      </c>
      <c r="O111" s="13">
        <f>M111*N111</f>
        <v>36</v>
      </c>
      <c r="P111" s="13"/>
    </row>
    <row r="112" spans="1:16" x14ac:dyDescent="0.25">
      <c r="A112" s="13">
        <v>125</v>
      </c>
      <c r="B112" s="13" t="s">
        <v>62</v>
      </c>
      <c r="C112" s="13" t="s">
        <v>401</v>
      </c>
      <c r="D112" s="13">
        <v>4</v>
      </c>
      <c r="E112" s="13" t="s">
        <v>374</v>
      </c>
      <c r="F112" s="15">
        <v>4</v>
      </c>
      <c r="G112" s="13" t="s">
        <v>332</v>
      </c>
      <c r="H112" s="13" t="s">
        <v>22</v>
      </c>
      <c r="I112" s="13" t="s">
        <v>78</v>
      </c>
      <c r="J112" s="13"/>
      <c r="K112" s="13" t="s">
        <v>90</v>
      </c>
      <c r="L112" s="13" t="s">
        <v>287</v>
      </c>
      <c r="M112" s="13">
        <v>59</v>
      </c>
      <c r="N112" s="13">
        <v>8</v>
      </c>
      <c r="O112" s="13">
        <f>M112*N112</f>
        <v>472</v>
      </c>
      <c r="P112" s="13"/>
    </row>
    <row r="113" spans="1:16" x14ac:dyDescent="0.25">
      <c r="A113" s="13">
        <v>86</v>
      </c>
      <c r="B113" s="13" t="s">
        <v>62</v>
      </c>
      <c r="C113" s="13" t="s">
        <v>401</v>
      </c>
      <c r="D113" s="13">
        <v>4</v>
      </c>
      <c r="E113" s="13" t="s">
        <v>374</v>
      </c>
      <c r="F113" s="15">
        <v>4</v>
      </c>
      <c r="G113" s="13" t="s">
        <v>9</v>
      </c>
      <c r="H113" s="13" t="s">
        <v>24</v>
      </c>
      <c r="I113" s="13" t="s">
        <v>78</v>
      </c>
      <c r="J113" s="13"/>
      <c r="K113" s="13" t="s">
        <v>90</v>
      </c>
      <c r="L113" s="13" t="s">
        <v>240</v>
      </c>
      <c r="M113" s="13">
        <v>499</v>
      </c>
      <c r="N113" s="13">
        <v>2</v>
      </c>
      <c r="O113" s="13">
        <v>998</v>
      </c>
      <c r="P113" s="13"/>
    </row>
    <row r="114" spans="1:16" x14ac:dyDescent="0.25">
      <c r="A114" s="13">
        <v>87</v>
      </c>
      <c r="B114" s="13" t="s">
        <v>62</v>
      </c>
      <c r="C114" s="13" t="s">
        <v>401</v>
      </c>
      <c r="D114" s="13">
        <v>4</v>
      </c>
      <c r="E114" s="13" t="s">
        <v>374</v>
      </c>
      <c r="F114" s="15">
        <v>4</v>
      </c>
      <c r="G114" s="13" t="s">
        <v>9</v>
      </c>
      <c r="H114" s="13" t="s">
        <v>24</v>
      </c>
      <c r="I114" s="13" t="s">
        <v>78</v>
      </c>
      <c r="J114" s="13"/>
      <c r="K114" s="13" t="s">
        <v>90</v>
      </c>
      <c r="L114" s="13" t="s">
        <v>241</v>
      </c>
      <c r="M114" s="13">
        <v>499</v>
      </c>
      <c r="N114" s="13">
        <v>2</v>
      </c>
      <c r="O114" s="13">
        <v>998</v>
      </c>
      <c r="P114" s="13"/>
    </row>
    <row r="115" spans="1:16" x14ac:dyDescent="0.25">
      <c r="A115" s="13">
        <v>148</v>
      </c>
      <c r="B115" s="13" t="s">
        <v>62</v>
      </c>
      <c r="C115" s="13" t="s">
        <v>402</v>
      </c>
      <c r="D115" s="13">
        <v>2</v>
      </c>
      <c r="E115" s="13" t="s">
        <v>319</v>
      </c>
      <c r="F115" s="15">
        <v>2</v>
      </c>
      <c r="G115" s="13" t="s">
        <v>16</v>
      </c>
      <c r="H115" s="13" t="s">
        <v>38</v>
      </c>
      <c r="I115" s="13" t="s">
        <v>78</v>
      </c>
      <c r="J115" s="13"/>
      <c r="K115" s="13" t="s">
        <v>318</v>
      </c>
      <c r="L115" s="13" t="s">
        <v>320</v>
      </c>
      <c r="M115" s="13">
        <v>16.899999999999999</v>
      </c>
      <c r="N115" s="13">
        <v>2</v>
      </c>
      <c r="O115" s="13">
        <f>M115*N115</f>
        <v>33.799999999999997</v>
      </c>
      <c r="P115" s="13"/>
    </row>
    <row r="116" spans="1:16" x14ac:dyDescent="0.25">
      <c r="A116" s="13">
        <v>149</v>
      </c>
      <c r="B116" s="13" t="s">
        <v>62</v>
      </c>
      <c r="C116" s="13" t="s">
        <v>402</v>
      </c>
      <c r="D116" s="13">
        <v>2</v>
      </c>
      <c r="E116" s="13" t="s">
        <v>319</v>
      </c>
      <c r="F116" s="15">
        <v>2</v>
      </c>
      <c r="G116" s="13" t="s">
        <v>16</v>
      </c>
      <c r="H116" s="13" t="s">
        <v>38</v>
      </c>
      <c r="I116" s="13" t="s">
        <v>78</v>
      </c>
      <c r="J116" s="13"/>
      <c r="K116" s="13" t="s">
        <v>318</v>
      </c>
      <c r="L116" s="13" t="s">
        <v>321</v>
      </c>
      <c r="M116" s="13">
        <v>10.9</v>
      </c>
      <c r="N116" s="13">
        <v>2</v>
      </c>
      <c r="O116" s="13">
        <f>M116*N116</f>
        <v>21.8</v>
      </c>
      <c r="P116" s="13"/>
    </row>
    <row r="117" spans="1:16" x14ac:dyDescent="0.25">
      <c r="A117" s="13">
        <v>99</v>
      </c>
      <c r="B117" s="13" t="s">
        <v>399</v>
      </c>
      <c r="C117" s="13" t="s">
        <v>399</v>
      </c>
      <c r="D117" s="13">
        <v>3</v>
      </c>
      <c r="E117" s="13" t="s">
        <v>380</v>
      </c>
      <c r="F117" s="15">
        <v>3</v>
      </c>
      <c r="G117" s="13" t="s">
        <v>16</v>
      </c>
      <c r="H117" s="13" t="s">
        <v>156</v>
      </c>
      <c r="I117" s="13" t="s">
        <v>78</v>
      </c>
      <c r="J117" s="13"/>
      <c r="K117" s="13" t="s">
        <v>260</v>
      </c>
      <c r="L117" s="13" t="s">
        <v>255</v>
      </c>
      <c r="M117" s="13">
        <v>80</v>
      </c>
      <c r="N117" s="13">
        <v>3</v>
      </c>
      <c r="O117" s="13">
        <f>M117*N117</f>
        <v>240</v>
      </c>
      <c r="P117" s="13"/>
    </row>
    <row r="118" spans="1:16" x14ac:dyDescent="0.25">
      <c r="A118" s="13">
        <v>16</v>
      </c>
      <c r="B118" s="13" t="s">
        <v>48</v>
      </c>
      <c r="C118" s="13" t="s">
        <v>44</v>
      </c>
      <c r="D118" s="13">
        <v>2</v>
      </c>
      <c r="E118" s="13" t="s">
        <v>351</v>
      </c>
      <c r="F118" s="15">
        <v>2</v>
      </c>
      <c r="G118" s="13" t="s">
        <v>10</v>
      </c>
      <c r="H118" s="13" t="s">
        <v>34</v>
      </c>
      <c r="I118" s="13" t="s">
        <v>78</v>
      </c>
      <c r="J118" s="13"/>
      <c r="K118" s="13" t="s">
        <v>90</v>
      </c>
      <c r="L118" s="13" t="s">
        <v>132</v>
      </c>
      <c r="M118" s="13">
        <v>89</v>
      </c>
      <c r="N118" s="13">
        <v>3</v>
      </c>
      <c r="O118" s="17">
        <v>267</v>
      </c>
      <c r="P118" s="17"/>
    </row>
    <row r="119" spans="1:16" x14ac:dyDescent="0.25">
      <c r="A119" s="13">
        <v>21</v>
      </c>
      <c r="B119" s="13" t="s">
        <v>48</v>
      </c>
      <c r="C119" s="13" t="s">
        <v>44</v>
      </c>
      <c r="D119" s="13">
        <v>1</v>
      </c>
      <c r="E119" s="13" t="s">
        <v>351</v>
      </c>
      <c r="F119" s="15">
        <v>1</v>
      </c>
      <c r="G119" s="13" t="s">
        <v>10</v>
      </c>
      <c r="H119" s="13" t="s">
        <v>34</v>
      </c>
      <c r="I119" s="13" t="s">
        <v>78</v>
      </c>
      <c r="J119" s="13"/>
      <c r="K119" s="13" t="s">
        <v>90</v>
      </c>
      <c r="L119" s="13" t="s">
        <v>132</v>
      </c>
      <c r="M119" s="13">
        <v>89</v>
      </c>
      <c r="N119" s="13">
        <v>1</v>
      </c>
      <c r="O119" s="17">
        <v>101</v>
      </c>
      <c r="P119" s="18" t="s">
        <v>152</v>
      </c>
    </row>
    <row r="120" spans="1:16" x14ac:dyDescent="0.25">
      <c r="A120" s="13">
        <v>5</v>
      </c>
      <c r="B120" s="13" t="s">
        <v>48</v>
      </c>
      <c r="C120" s="13" t="s">
        <v>45</v>
      </c>
      <c r="D120" s="13">
        <v>1</v>
      </c>
      <c r="E120" s="13" t="s">
        <v>43</v>
      </c>
      <c r="F120" s="15">
        <v>1</v>
      </c>
      <c r="G120" s="13" t="s">
        <v>10</v>
      </c>
      <c r="H120" s="13" t="s">
        <v>32</v>
      </c>
      <c r="I120" s="13" t="s">
        <v>28</v>
      </c>
      <c r="J120" s="13"/>
      <c r="K120" s="13" t="s">
        <v>96</v>
      </c>
      <c r="L120" s="13" t="s">
        <v>70</v>
      </c>
      <c r="M120" s="13">
        <v>10</v>
      </c>
      <c r="N120" s="13">
        <f>D120*F120</f>
        <v>1</v>
      </c>
      <c r="O120" s="13">
        <f>M120*N120</f>
        <v>10</v>
      </c>
      <c r="P120" s="13"/>
    </row>
    <row r="121" spans="1:16" x14ac:dyDescent="0.25">
      <c r="A121" s="13">
        <v>19</v>
      </c>
      <c r="B121" s="13" t="s">
        <v>62</v>
      </c>
      <c r="C121" s="13" t="s">
        <v>402</v>
      </c>
      <c r="D121" s="13">
        <v>1</v>
      </c>
      <c r="E121" s="13" t="s">
        <v>352</v>
      </c>
      <c r="F121" s="15">
        <v>1</v>
      </c>
      <c r="G121" s="13" t="s">
        <v>10</v>
      </c>
      <c r="H121" s="13" t="s">
        <v>34</v>
      </c>
      <c r="I121" s="13" t="s">
        <v>78</v>
      </c>
      <c r="J121" s="13" t="s">
        <v>201</v>
      </c>
      <c r="K121" s="13" t="s">
        <v>194</v>
      </c>
      <c r="L121" s="13" t="s">
        <v>135</v>
      </c>
      <c r="M121" s="13">
        <v>7</v>
      </c>
      <c r="N121" s="13">
        <v>1</v>
      </c>
      <c r="O121" s="17">
        <v>7</v>
      </c>
      <c r="P121" s="17"/>
    </row>
    <row r="122" spans="1:16" x14ac:dyDescent="0.25">
      <c r="A122" s="13">
        <v>107</v>
      </c>
      <c r="B122" s="13" t="s">
        <v>62</v>
      </c>
      <c r="C122" s="13" t="s">
        <v>157</v>
      </c>
      <c r="D122" s="13">
        <v>1</v>
      </c>
      <c r="E122" s="13" t="s">
        <v>385</v>
      </c>
      <c r="F122" s="15">
        <v>1</v>
      </c>
      <c r="G122" s="13" t="s">
        <v>16</v>
      </c>
      <c r="H122" s="13" t="s">
        <v>16</v>
      </c>
      <c r="I122" s="13" t="s">
        <v>78</v>
      </c>
      <c r="J122" s="13"/>
      <c r="K122" s="13" t="s">
        <v>267</v>
      </c>
      <c r="L122" s="13" t="s">
        <v>268</v>
      </c>
      <c r="M122" s="13">
        <v>25</v>
      </c>
      <c r="N122" s="13">
        <v>1</v>
      </c>
      <c r="O122" s="13">
        <f>M122*N122</f>
        <v>25</v>
      </c>
      <c r="P122" s="13"/>
    </row>
    <row r="123" spans="1:16" x14ac:dyDescent="0.25">
      <c r="A123" s="13">
        <v>112</v>
      </c>
      <c r="B123" s="13" t="s">
        <v>62</v>
      </c>
      <c r="C123" s="13" t="s">
        <v>157</v>
      </c>
      <c r="D123" s="13">
        <v>2</v>
      </c>
      <c r="E123" s="13" t="s">
        <v>387</v>
      </c>
      <c r="F123" s="15">
        <v>2</v>
      </c>
      <c r="G123" s="13" t="s">
        <v>16</v>
      </c>
      <c r="H123" s="13" t="s">
        <v>16</v>
      </c>
      <c r="I123" s="13" t="s">
        <v>78</v>
      </c>
      <c r="J123" s="13"/>
      <c r="K123" s="13" t="s">
        <v>277</v>
      </c>
      <c r="L123" s="13" t="s">
        <v>278</v>
      </c>
      <c r="M123" s="13">
        <v>38</v>
      </c>
      <c r="N123" s="13">
        <v>1</v>
      </c>
      <c r="O123" s="13">
        <f>M123*N123</f>
        <v>38</v>
      </c>
      <c r="P123" s="13"/>
    </row>
    <row r="124" spans="1:16" x14ac:dyDescent="0.25">
      <c r="A124" s="13">
        <v>129</v>
      </c>
      <c r="B124" s="13" t="s">
        <v>400</v>
      </c>
      <c r="C124" s="13" t="s">
        <v>402</v>
      </c>
      <c r="D124" s="13">
        <v>10</v>
      </c>
      <c r="E124" s="13" t="s">
        <v>394</v>
      </c>
      <c r="F124" s="15">
        <v>10</v>
      </c>
      <c r="G124" s="13" t="s">
        <v>16</v>
      </c>
      <c r="H124" s="13" t="s">
        <v>16</v>
      </c>
      <c r="I124" s="13" t="s">
        <v>78</v>
      </c>
      <c r="J124" s="13"/>
      <c r="K124" s="13" t="s">
        <v>330</v>
      </c>
      <c r="L124" s="13" t="s">
        <v>291</v>
      </c>
      <c r="M124" s="13">
        <v>26.9</v>
      </c>
      <c r="N124" s="13">
        <v>1</v>
      </c>
      <c r="O124" s="13">
        <f>M124*N124</f>
        <v>26.9</v>
      </c>
      <c r="P124" s="13"/>
    </row>
    <row r="125" spans="1:16" x14ac:dyDescent="0.25">
      <c r="A125" s="13">
        <v>48</v>
      </c>
      <c r="B125" s="13" t="s">
        <v>62</v>
      </c>
      <c r="C125" s="13" t="s">
        <v>75</v>
      </c>
      <c r="D125" s="13">
        <v>2</v>
      </c>
      <c r="E125" s="13" t="s">
        <v>364</v>
      </c>
      <c r="F125" s="15">
        <v>2</v>
      </c>
      <c r="G125" s="13" t="s">
        <v>10</v>
      </c>
      <c r="H125" s="13" t="s">
        <v>34</v>
      </c>
      <c r="I125" s="13" t="s">
        <v>76</v>
      </c>
      <c r="J125" s="13" t="s">
        <v>211</v>
      </c>
      <c r="K125" s="13" t="s">
        <v>89</v>
      </c>
      <c r="L125" s="19" t="s">
        <v>170</v>
      </c>
      <c r="M125" s="19">
        <v>1.26</v>
      </c>
      <c r="N125" s="19">
        <v>10</v>
      </c>
      <c r="O125" s="19">
        <v>12.6</v>
      </c>
      <c r="P125" s="13"/>
    </row>
    <row r="126" spans="1:16" x14ac:dyDescent="0.25">
      <c r="A126" s="13">
        <v>82</v>
      </c>
      <c r="B126" s="13" t="s">
        <v>64</v>
      </c>
      <c r="C126" s="13" t="s">
        <v>2</v>
      </c>
      <c r="D126" s="13">
        <v>2</v>
      </c>
      <c r="E126" s="13" t="s">
        <v>2</v>
      </c>
      <c r="F126" s="15">
        <v>2</v>
      </c>
      <c r="G126" s="13" t="s">
        <v>16</v>
      </c>
      <c r="H126" s="13" t="s">
        <v>22</v>
      </c>
      <c r="I126" s="13" t="s">
        <v>78</v>
      </c>
      <c r="J126" s="13"/>
      <c r="K126" s="13" t="s">
        <v>90</v>
      </c>
      <c r="L126" s="13" t="s">
        <v>236</v>
      </c>
      <c r="M126" s="13">
        <v>249</v>
      </c>
      <c r="N126" s="13">
        <v>2</v>
      </c>
      <c r="O126" s="13">
        <v>498</v>
      </c>
      <c r="P126" s="13"/>
    </row>
    <row r="127" spans="1:16" x14ac:dyDescent="0.25">
      <c r="A127" s="13">
        <v>92</v>
      </c>
      <c r="B127" s="13" t="s">
        <v>64</v>
      </c>
      <c r="C127" s="13" t="s">
        <v>2</v>
      </c>
      <c r="D127" s="13">
        <v>9</v>
      </c>
      <c r="E127" s="13" t="s">
        <v>2</v>
      </c>
      <c r="F127" s="15">
        <v>9</v>
      </c>
      <c r="G127" s="13" t="s">
        <v>16</v>
      </c>
      <c r="H127" s="13" t="s">
        <v>22</v>
      </c>
      <c r="I127" s="13" t="s">
        <v>78</v>
      </c>
      <c r="J127" s="13"/>
      <c r="K127" s="13" t="s">
        <v>90</v>
      </c>
      <c r="L127" s="19" t="s">
        <v>246</v>
      </c>
      <c r="M127" s="19">
        <v>188</v>
      </c>
      <c r="N127" s="19">
        <v>2</v>
      </c>
      <c r="O127" s="19">
        <v>376</v>
      </c>
      <c r="P127" s="13"/>
    </row>
    <row r="128" spans="1:16" x14ac:dyDescent="0.25">
      <c r="A128" s="13">
        <v>108</v>
      </c>
      <c r="B128" s="13" t="s">
        <v>398</v>
      </c>
      <c r="C128" s="13" t="s">
        <v>2</v>
      </c>
      <c r="D128" s="13">
        <v>9</v>
      </c>
      <c r="E128" s="13" t="s">
        <v>2</v>
      </c>
      <c r="F128" s="15">
        <v>9</v>
      </c>
      <c r="G128" s="13" t="s">
        <v>16</v>
      </c>
      <c r="H128" s="13" t="s">
        <v>7</v>
      </c>
      <c r="I128" s="13" t="s">
        <v>78</v>
      </c>
      <c r="J128" s="13"/>
      <c r="K128" s="13" t="s">
        <v>269</v>
      </c>
      <c r="L128" s="13" t="s">
        <v>270</v>
      </c>
      <c r="M128" s="13">
        <v>7</v>
      </c>
      <c r="N128" s="13">
        <v>9</v>
      </c>
      <c r="O128" s="13">
        <f>M128*N128</f>
        <v>63</v>
      </c>
      <c r="P128" s="13"/>
    </row>
    <row r="129" spans="1:16" x14ac:dyDescent="0.25">
      <c r="A129" s="13">
        <v>131</v>
      </c>
      <c r="B129" s="13" t="s">
        <v>398</v>
      </c>
      <c r="C129" s="13" t="s">
        <v>2</v>
      </c>
      <c r="D129" s="13">
        <v>2</v>
      </c>
      <c r="E129" s="13" t="s">
        <v>2</v>
      </c>
      <c r="F129" s="15">
        <v>2</v>
      </c>
      <c r="G129" s="13" t="s">
        <v>16</v>
      </c>
      <c r="H129" s="13" t="s">
        <v>7</v>
      </c>
      <c r="I129" s="13" t="s">
        <v>78</v>
      </c>
      <c r="J129" s="13"/>
      <c r="K129" s="13" t="s">
        <v>331</v>
      </c>
      <c r="L129" s="13" t="s">
        <v>292</v>
      </c>
      <c r="M129" s="13">
        <v>5</v>
      </c>
      <c r="N129" s="13">
        <v>9</v>
      </c>
      <c r="O129" s="13">
        <f>M129*N129</f>
        <v>45</v>
      </c>
      <c r="P129" s="13"/>
    </row>
    <row r="130" spans="1:16" x14ac:dyDescent="0.25">
      <c r="A130" s="13">
        <v>74</v>
      </c>
      <c r="B130" s="13" t="s">
        <v>64</v>
      </c>
      <c r="C130" s="13" t="s">
        <v>71</v>
      </c>
      <c r="D130" s="13">
        <v>1</v>
      </c>
      <c r="E130" s="13" t="s">
        <v>110</v>
      </c>
      <c r="F130" s="15">
        <v>2</v>
      </c>
      <c r="G130" s="13" t="s">
        <v>334</v>
      </c>
      <c r="H130" s="13" t="s">
        <v>22</v>
      </c>
      <c r="I130" s="13" t="s">
        <v>20</v>
      </c>
      <c r="J130" s="13" t="s">
        <v>109</v>
      </c>
      <c r="K130" s="13" t="s">
        <v>108</v>
      </c>
      <c r="L130" s="13" t="s">
        <v>111</v>
      </c>
      <c r="M130" s="13">
        <v>1599</v>
      </c>
      <c r="N130" s="13">
        <f>D130*F130</f>
        <v>2</v>
      </c>
      <c r="O130" s="13">
        <f>M130*N130</f>
        <v>3198</v>
      </c>
      <c r="P130" s="13"/>
    </row>
    <row r="131" spans="1:16" x14ac:dyDescent="0.25">
      <c r="A131" s="13">
        <v>106</v>
      </c>
      <c r="B131" s="13" t="s">
        <v>64</v>
      </c>
      <c r="C131" s="13" t="s">
        <v>63</v>
      </c>
      <c r="D131" s="13">
        <v>8</v>
      </c>
      <c r="E131" s="13" t="s">
        <v>384</v>
      </c>
      <c r="F131" s="15">
        <v>8</v>
      </c>
      <c r="G131" s="13" t="s">
        <v>16</v>
      </c>
      <c r="H131" s="13" t="s">
        <v>22</v>
      </c>
      <c r="I131" s="13" t="s">
        <v>78</v>
      </c>
      <c r="J131" s="13"/>
      <c r="K131" s="13" t="s">
        <v>265</v>
      </c>
      <c r="L131" s="13" t="s">
        <v>266</v>
      </c>
      <c r="M131" s="13">
        <v>50</v>
      </c>
      <c r="N131" s="13">
        <v>8</v>
      </c>
      <c r="O131" s="13">
        <f>M131*N131</f>
        <v>400</v>
      </c>
      <c r="P131" s="13"/>
    </row>
    <row r="132" spans="1:16" x14ac:dyDescent="0.25">
      <c r="A132" s="13">
        <v>72</v>
      </c>
      <c r="B132" s="13" t="s">
        <v>72</v>
      </c>
      <c r="C132" s="13" t="s">
        <v>73</v>
      </c>
      <c r="D132" s="13">
        <v>2</v>
      </c>
      <c r="E132" s="13" t="s">
        <v>74</v>
      </c>
      <c r="F132" s="15">
        <v>1</v>
      </c>
      <c r="G132" s="13" t="s">
        <v>16</v>
      </c>
      <c r="H132" s="13" t="s">
        <v>16</v>
      </c>
      <c r="I132" s="13" t="s">
        <v>76</v>
      </c>
      <c r="J132" s="13" t="s">
        <v>198</v>
      </c>
      <c r="K132" s="13"/>
      <c r="L132" s="13"/>
      <c r="M132" s="13">
        <v>5</v>
      </c>
      <c r="N132" s="13">
        <f>D132*F132</f>
        <v>2</v>
      </c>
      <c r="O132" s="13">
        <f>M132*N132</f>
        <v>10</v>
      </c>
      <c r="P132" s="13"/>
    </row>
    <row r="133" spans="1:16" x14ac:dyDescent="0.25">
      <c r="A133" s="13">
        <v>93</v>
      </c>
      <c r="B133" s="13" t="s">
        <v>64</v>
      </c>
      <c r="C133" s="13" t="s">
        <v>71</v>
      </c>
      <c r="D133" s="13">
        <v>2</v>
      </c>
      <c r="E133" s="13" t="s">
        <v>377</v>
      </c>
      <c r="F133" s="15">
        <v>2</v>
      </c>
      <c r="G133" s="13" t="s">
        <v>9</v>
      </c>
      <c r="H133" s="13" t="s">
        <v>24</v>
      </c>
      <c r="I133" s="13" t="s">
        <v>78</v>
      </c>
      <c r="J133" s="13"/>
      <c r="K133" s="13" t="s">
        <v>90</v>
      </c>
      <c r="L133" s="19" t="s">
        <v>247</v>
      </c>
      <c r="M133" s="19">
        <v>169</v>
      </c>
      <c r="N133" s="19">
        <v>2</v>
      </c>
      <c r="O133" s="19">
        <v>338</v>
      </c>
      <c r="P133" s="13"/>
    </row>
    <row r="134" spans="1:16" x14ac:dyDescent="0.25">
      <c r="A134" s="13">
        <v>91</v>
      </c>
      <c r="B134" s="13" t="s">
        <v>48</v>
      </c>
      <c r="C134" s="13" t="s">
        <v>44</v>
      </c>
      <c r="D134" s="13">
        <v>2</v>
      </c>
      <c r="E134" s="19" t="s">
        <v>376</v>
      </c>
      <c r="F134" s="15">
        <v>2</v>
      </c>
      <c r="G134" s="13" t="s">
        <v>9</v>
      </c>
      <c r="H134" s="13" t="s">
        <v>24</v>
      </c>
      <c r="I134" s="13" t="s">
        <v>78</v>
      </c>
      <c r="J134" s="13"/>
      <c r="K134" s="13" t="s">
        <v>90</v>
      </c>
      <c r="L134" s="19" t="s">
        <v>245</v>
      </c>
      <c r="M134" s="19">
        <v>69</v>
      </c>
      <c r="N134" s="19">
        <v>2</v>
      </c>
      <c r="O134" s="19">
        <v>138</v>
      </c>
      <c r="P134" s="13"/>
    </row>
    <row r="135" spans="1:16" x14ac:dyDescent="0.25">
      <c r="A135" s="13">
        <v>120</v>
      </c>
      <c r="B135" s="13" t="s">
        <v>398</v>
      </c>
      <c r="C135" s="13" t="s">
        <v>402</v>
      </c>
      <c r="D135" s="13">
        <v>1</v>
      </c>
      <c r="E135" s="13" t="s">
        <v>390</v>
      </c>
      <c r="F135" s="15">
        <v>1</v>
      </c>
      <c r="G135" s="13" t="s">
        <v>16</v>
      </c>
      <c r="H135" s="13" t="s">
        <v>16</v>
      </c>
      <c r="I135" s="13" t="s">
        <v>78</v>
      </c>
      <c r="J135" s="13"/>
      <c r="K135" s="13" t="s">
        <v>298</v>
      </c>
      <c r="L135" s="13" t="s">
        <v>299</v>
      </c>
      <c r="M135" s="13">
        <v>18.7</v>
      </c>
      <c r="N135" s="13">
        <v>1</v>
      </c>
      <c r="O135" s="13">
        <f>M135*N135</f>
        <v>18.7</v>
      </c>
      <c r="P135" s="13"/>
    </row>
    <row r="136" spans="1:16" x14ac:dyDescent="0.25">
      <c r="A136" s="13">
        <v>117</v>
      </c>
      <c r="B136" s="13" t="s">
        <v>48</v>
      </c>
      <c r="C136" s="13" t="s">
        <v>44</v>
      </c>
      <c r="D136" s="13">
        <v>2</v>
      </c>
      <c r="E136" s="13" t="s">
        <v>389</v>
      </c>
      <c r="F136" s="15">
        <v>2</v>
      </c>
      <c r="G136" s="13" t="s">
        <v>10</v>
      </c>
      <c r="H136" s="13" t="s">
        <v>60</v>
      </c>
      <c r="I136" s="13" t="s">
        <v>78</v>
      </c>
      <c r="J136" s="13" t="s">
        <v>286</v>
      </c>
      <c r="K136" s="13" t="s">
        <v>281</v>
      </c>
      <c r="L136" s="13" t="s">
        <v>285</v>
      </c>
      <c r="M136" s="13">
        <v>7.5</v>
      </c>
      <c r="N136" s="13">
        <v>2</v>
      </c>
      <c r="O136" s="13">
        <f>M136*N136</f>
        <v>15</v>
      </c>
      <c r="P136" s="13"/>
    </row>
    <row r="137" spans="1:16" x14ac:dyDescent="0.25">
      <c r="A137" s="13">
        <v>24</v>
      </c>
      <c r="B137" s="13" t="s">
        <v>62</v>
      </c>
      <c r="C137" s="13" t="s">
        <v>75</v>
      </c>
      <c r="D137" s="13">
        <v>200</v>
      </c>
      <c r="E137" s="13" t="s">
        <v>357</v>
      </c>
      <c r="F137" s="15">
        <v>200</v>
      </c>
      <c r="G137" s="13" t="s">
        <v>10</v>
      </c>
      <c r="H137" s="13" t="s">
        <v>18</v>
      </c>
      <c r="I137" s="13" t="s">
        <v>76</v>
      </c>
      <c r="J137" s="13"/>
      <c r="K137" s="13" t="s">
        <v>89</v>
      </c>
      <c r="L137" s="13" t="s">
        <v>139</v>
      </c>
      <c r="M137" s="13">
        <v>10</v>
      </c>
      <c r="N137" s="13">
        <v>200</v>
      </c>
      <c r="O137" s="17">
        <v>2000</v>
      </c>
      <c r="P137" s="17"/>
    </row>
    <row r="138" spans="1:16" x14ac:dyDescent="0.25">
      <c r="A138" s="13">
        <v>81</v>
      </c>
      <c r="B138" s="13" t="s">
        <v>64</v>
      </c>
      <c r="C138" s="13" t="s">
        <v>63</v>
      </c>
      <c r="D138" s="13">
        <v>2</v>
      </c>
      <c r="E138" s="13" t="s">
        <v>371</v>
      </c>
      <c r="F138" s="15">
        <v>2</v>
      </c>
      <c r="G138" s="13" t="s">
        <v>9</v>
      </c>
      <c r="H138" s="13" t="s">
        <v>24</v>
      </c>
      <c r="I138" s="13" t="s">
        <v>78</v>
      </c>
      <c r="J138" s="13"/>
      <c r="K138" s="13" t="s">
        <v>90</v>
      </c>
      <c r="L138" s="13" t="s">
        <v>235</v>
      </c>
      <c r="M138" s="13">
        <v>89</v>
      </c>
      <c r="N138" s="13">
        <v>2</v>
      </c>
      <c r="O138" s="13">
        <v>178</v>
      </c>
      <c r="P138" s="13"/>
    </row>
    <row r="139" spans="1:16" x14ac:dyDescent="0.25">
      <c r="A139" s="13">
        <v>2</v>
      </c>
      <c r="B139" s="13" t="s">
        <v>6</v>
      </c>
      <c r="C139" s="13" t="s">
        <v>39</v>
      </c>
      <c r="D139" s="13">
        <v>4</v>
      </c>
      <c r="E139" s="13" t="s">
        <v>40</v>
      </c>
      <c r="F139" s="15">
        <v>1</v>
      </c>
      <c r="G139" s="13" t="s">
        <v>10</v>
      </c>
      <c r="H139" s="13" t="s">
        <v>34</v>
      </c>
      <c r="I139" s="13" t="s">
        <v>78</v>
      </c>
      <c r="J139" s="13" t="s">
        <v>88</v>
      </c>
      <c r="K139" s="13" t="s">
        <v>92</v>
      </c>
      <c r="L139" s="13" t="s">
        <v>155</v>
      </c>
      <c r="M139" s="13">
        <v>150</v>
      </c>
      <c r="N139" s="13">
        <f>D139*F139</f>
        <v>4</v>
      </c>
      <c r="O139" s="13">
        <f>M139*N139</f>
        <v>600</v>
      </c>
      <c r="P139" s="13"/>
    </row>
    <row r="140" spans="1:16" x14ac:dyDescent="0.25">
      <c r="A140" s="13">
        <v>44</v>
      </c>
      <c r="B140" s="13" t="s">
        <v>62</v>
      </c>
      <c r="C140" s="13" t="s">
        <v>401</v>
      </c>
      <c r="D140" s="13">
        <v>10</v>
      </c>
      <c r="E140" s="13" t="s">
        <v>40</v>
      </c>
      <c r="F140" s="15">
        <v>10</v>
      </c>
      <c r="G140" s="13" t="s">
        <v>10</v>
      </c>
      <c r="H140" s="13" t="s">
        <v>34</v>
      </c>
      <c r="I140" s="13" t="s">
        <v>76</v>
      </c>
      <c r="J140" s="13" t="s">
        <v>210</v>
      </c>
      <c r="K140" s="13" t="s">
        <v>89</v>
      </c>
      <c r="L140" s="19" t="s">
        <v>166</v>
      </c>
      <c r="M140" s="19">
        <v>1.6</v>
      </c>
      <c r="N140" s="19">
        <v>10</v>
      </c>
      <c r="O140" s="19">
        <v>16</v>
      </c>
      <c r="P140" s="13"/>
    </row>
    <row r="141" spans="1:16" x14ac:dyDescent="0.25">
      <c r="A141" s="13">
        <v>45</v>
      </c>
      <c r="B141" s="13" t="s">
        <v>62</v>
      </c>
      <c r="C141" s="13" t="s">
        <v>401</v>
      </c>
      <c r="D141" s="13">
        <v>10</v>
      </c>
      <c r="E141" s="13" t="s">
        <v>40</v>
      </c>
      <c r="F141" s="15">
        <v>10</v>
      </c>
      <c r="G141" s="13" t="s">
        <v>10</v>
      </c>
      <c r="H141" s="13" t="s">
        <v>34</v>
      </c>
      <c r="I141" s="13" t="s">
        <v>76</v>
      </c>
      <c r="J141" s="13"/>
      <c r="K141" s="13" t="s">
        <v>89</v>
      </c>
      <c r="L141" s="19" t="s">
        <v>167</v>
      </c>
      <c r="M141" s="19">
        <v>2</v>
      </c>
      <c r="N141" s="19">
        <v>10</v>
      </c>
      <c r="O141" s="19">
        <v>20</v>
      </c>
      <c r="P141" s="13"/>
    </row>
    <row r="142" spans="1:16" x14ac:dyDescent="0.25">
      <c r="A142" s="13">
        <v>46</v>
      </c>
      <c r="B142" s="13" t="s">
        <v>62</v>
      </c>
      <c r="C142" s="13" t="s">
        <v>401</v>
      </c>
      <c r="D142" s="13">
        <v>20</v>
      </c>
      <c r="E142" s="13" t="s">
        <v>40</v>
      </c>
      <c r="F142" s="15">
        <v>20</v>
      </c>
      <c r="G142" s="13" t="s">
        <v>10</v>
      </c>
      <c r="H142" s="13" t="s">
        <v>34</v>
      </c>
      <c r="I142" s="13" t="s">
        <v>76</v>
      </c>
      <c r="J142" s="13"/>
      <c r="K142" s="13" t="s">
        <v>89</v>
      </c>
      <c r="L142" s="19" t="s">
        <v>168</v>
      </c>
      <c r="M142" s="19">
        <v>1.7</v>
      </c>
      <c r="N142" s="19">
        <v>20</v>
      </c>
      <c r="O142" s="19">
        <v>34</v>
      </c>
      <c r="P142" s="13"/>
    </row>
    <row r="143" spans="1:16" x14ac:dyDescent="0.25">
      <c r="A143" s="13">
        <v>47</v>
      </c>
      <c r="B143" s="13" t="s">
        <v>62</v>
      </c>
      <c r="C143" s="13" t="s">
        <v>401</v>
      </c>
      <c r="D143" s="13">
        <v>20</v>
      </c>
      <c r="E143" s="13" t="s">
        <v>40</v>
      </c>
      <c r="F143" s="15">
        <v>20</v>
      </c>
      <c r="G143" s="13" t="s">
        <v>10</v>
      </c>
      <c r="H143" s="13" t="s">
        <v>34</v>
      </c>
      <c r="I143" s="13" t="s">
        <v>76</v>
      </c>
      <c r="J143" s="13"/>
      <c r="K143" s="13" t="s">
        <v>89</v>
      </c>
      <c r="L143" s="19" t="s">
        <v>169</v>
      </c>
      <c r="M143" s="19">
        <v>1</v>
      </c>
      <c r="N143" s="19">
        <v>20</v>
      </c>
      <c r="O143" s="19">
        <v>20</v>
      </c>
      <c r="P143" s="13"/>
    </row>
    <row r="144" spans="1:16" x14ac:dyDescent="0.25">
      <c r="A144" s="13">
        <v>115</v>
      </c>
      <c r="B144" s="13" t="s">
        <v>62</v>
      </c>
      <c r="C144" s="13" t="s">
        <v>401</v>
      </c>
      <c r="D144" s="13">
        <v>4</v>
      </c>
      <c r="E144" s="13" t="s">
        <v>40</v>
      </c>
      <c r="F144" s="15">
        <v>4</v>
      </c>
      <c r="G144" s="13" t="s">
        <v>10</v>
      </c>
      <c r="H144" s="13" t="s">
        <v>60</v>
      </c>
      <c r="I144" s="13" t="s">
        <v>78</v>
      </c>
      <c r="J144" s="13"/>
      <c r="K144" s="13" t="s">
        <v>281</v>
      </c>
      <c r="L144" s="13" t="s">
        <v>296</v>
      </c>
      <c r="M144" s="13">
        <v>2.1</v>
      </c>
      <c r="N144" s="13">
        <v>4</v>
      </c>
      <c r="O144" s="13">
        <f>M144*N144</f>
        <v>8.4</v>
      </c>
      <c r="P144" s="13"/>
    </row>
    <row r="145" spans="1:16" x14ac:dyDescent="0.25">
      <c r="A145" s="13">
        <v>116</v>
      </c>
      <c r="B145" s="13" t="s">
        <v>62</v>
      </c>
      <c r="C145" s="13" t="s">
        <v>401</v>
      </c>
      <c r="D145" s="13">
        <v>1</v>
      </c>
      <c r="E145" s="13" t="s">
        <v>40</v>
      </c>
      <c r="F145" s="15">
        <v>1</v>
      </c>
      <c r="G145" s="13" t="s">
        <v>10</v>
      </c>
      <c r="H145" s="13" t="s">
        <v>60</v>
      </c>
      <c r="I145" s="13" t="s">
        <v>78</v>
      </c>
      <c r="J145" s="13"/>
      <c r="K145" s="13" t="s">
        <v>281</v>
      </c>
      <c r="L145" s="13" t="s">
        <v>297</v>
      </c>
      <c r="M145" s="13">
        <v>18</v>
      </c>
      <c r="N145" s="13">
        <v>1</v>
      </c>
      <c r="O145" s="13">
        <f>M145*N145</f>
        <v>18</v>
      </c>
      <c r="P145" s="13"/>
    </row>
    <row r="146" spans="1:16" x14ac:dyDescent="0.25">
      <c r="A146" s="13">
        <v>17</v>
      </c>
      <c r="B146" s="13" t="s">
        <v>48</v>
      </c>
      <c r="C146" s="13" t="s">
        <v>45</v>
      </c>
      <c r="D146" s="13">
        <v>10</v>
      </c>
      <c r="E146" s="13" t="s">
        <v>40</v>
      </c>
      <c r="F146" s="15">
        <v>10</v>
      </c>
      <c r="G146" s="13" t="s">
        <v>10</v>
      </c>
      <c r="H146" s="13" t="s">
        <v>34</v>
      </c>
      <c r="I146" s="13" t="s">
        <v>78</v>
      </c>
      <c r="J146" s="13"/>
      <c r="K146" s="13" t="s">
        <v>92</v>
      </c>
      <c r="L146" s="13" t="s">
        <v>133</v>
      </c>
      <c r="M146" s="13">
        <v>5</v>
      </c>
      <c r="N146" s="13">
        <v>10</v>
      </c>
      <c r="O146" s="17">
        <v>50</v>
      </c>
      <c r="P146" s="17"/>
    </row>
    <row r="147" spans="1:16" x14ac:dyDescent="0.25">
      <c r="A147" s="13">
        <v>18</v>
      </c>
      <c r="B147" s="13" t="s">
        <v>48</v>
      </c>
      <c r="C147" s="13" t="s">
        <v>45</v>
      </c>
      <c r="D147" s="13">
        <v>10</v>
      </c>
      <c r="E147" s="13" t="s">
        <v>40</v>
      </c>
      <c r="F147" s="15">
        <v>10</v>
      </c>
      <c r="G147" s="13" t="s">
        <v>10</v>
      </c>
      <c r="H147" s="13" t="s">
        <v>34</v>
      </c>
      <c r="I147" s="13" t="s">
        <v>78</v>
      </c>
      <c r="J147" s="13"/>
      <c r="K147" s="13" t="s">
        <v>92</v>
      </c>
      <c r="L147" s="13" t="s">
        <v>134</v>
      </c>
      <c r="M147" s="13">
        <v>5</v>
      </c>
      <c r="N147" s="13">
        <v>10</v>
      </c>
      <c r="O147" s="17">
        <v>50</v>
      </c>
      <c r="P147" s="17"/>
    </row>
    <row r="148" spans="1:16" x14ac:dyDescent="0.25">
      <c r="A148" s="13">
        <v>22</v>
      </c>
      <c r="B148" s="13" t="s">
        <v>48</v>
      </c>
      <c r="C148" s="13" t="s">
        <v>45</v>
      </c>
      <c r="D148" s="13">
        <v>1</v>
      </c>
      <c r="E148" s="13" t="s">
        <v>40</v>
      </c>
      <c r="F148" s="15">
        <v>1</v>
      </c>
      <c r="G148" s="13" t="s">
        <v>10</v>
      </c>
      <c r="H148" s="13" t="s">
        <v>34</v>
      </c>
      <c r="I148" s="13" t="s">
        <v>76</v>
      </c>
      <c r="J148" s="13"/>
      <c r="K148" s="13" t="s">
        <v>89</v>
      </c>
      <c r="L148" s="13" t="s">
        <v>137</v>
      </c>
      <c r="M148" s="13">
        <v>595</v>
      </c>
      <c r="N148" s="13">
        <v>1</v>
      </c>
      <c r="O148" s="17">
        <v>595</v>
      </c>
      <c r="P148" s="17"/>
    </row>
    <row r="149" spans="1:16" x14ac:dyDescent="0.25">
      <c r="A149" s="13">
        <v>133</v>
      </c>
      <c r="B149" s="13" t="s">
        <v>64</v>
      </c>
      <c r="C149" s="13" t="s">
        <v>402</v>
      </c>
      <c r="D149" s="13">
        <v>8</v>
      </c>
      <c r="E149" s="13" t="s">
        <v>396</v>
      </c>
      <c r="F149" s="15">
        <v>8</v>
      </c>
      <c r="G149" s="13" t="s">
        <v>16</v>
      </c>
      <c r="H149" s="13" t="s">
        <v>16</v>
      </c>
      <c r="I149" s="13" t="s">
        <v>78</v>
      </c>
      <c r="J149" s="13"/>
      <c r="K149" s="13" t="s">
        <v>331</v>
      </c>
      <c r="L149" s="13" t="s">
        <v>293</v>
      </c>
      <c r="M149" s="13">
        <v>7.99</v>
      </c>
      <c r="N149" s="13">
        <v>8</v>
      </c>
      <c r="O149" s="13">
        <f>M149*N149</f>
        <v>63.92</v>
      </c>
      <c r="P149" s="13"/>
    </row>
    <row r="153" spans="1:16" x14ac:dyDescent="0.25">
      <c r="N153" s="16" t="s">
        <v>5</v>
      </c>
      <c r="O153" s="14">
        <f>SUM(表1[父模块该物料总价
（计算）])</f>
        <v>48827.119999999995</v>
      </c>
    </row>
  </sheetData>
  <dataConsolidate/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下拉菜单选项!$B$2:$B$14</xm:f>
          </x14:formula1>
          <xm:sqref>H2:H149</xm:sqref>
        </x14:dataValidation>
        <x14:dataValidation type="list" allowBlank="1" showInputMessage="1" showErrorMessage="1" xr:uid="{00000000-0002-0000-0200-000002000000}">
          <x14:formula1>
            <xm:f>下拉菜单选项!$C$2:$C$7</xm:f>
          </x14:formula1>
          <xm:sqref>I2:I149</xm:sqref>
        </x14:dataValidation>
        <x14:dataValidation type="list" allowBlank="1" showInputMessage="1" showErrorMessage="1" xr:uid="{1C801AFA-64A0-426E-83BB-68AF6F3CA526}">
          <x14:formula1>
            <xm:f>下拉菜单选项!$A$2:$A$6</xm:f>
          </x14:formula1>
          <xm:sqref>G2:G149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0"/>
  <sheetViews>
    <sheetView workbookViewId="0">
      <selection activeCell="C35" sqref="C35"/>
    </sheetView>
  </sheetViews>
  <sheetFormatPr defaultColWidth="9" defaultRowHeight="15.6" x14ac:dyDescent="0.25"/>
  <cols>
    <col min="1" max="1" width="12.6640625" style="2" customWidth="1"/>
    <col min="2" max="2" width="17.6640625" style="2" customWidth="1"/>
    <col min="3" max="3" width="15.77734375" style="2" customWidth="1"/>
    <col min="4" max="16384" width="9" style="2"/>
  </cols>
  <sheetData>
    <row r="1" spans="1:3" ht="33.6" customHeight="1" x14ac:dyDescent="0.25">
      <c r="A1" s="3" t="s">
        <v>13</v>
      </c>
      <c r="B1" s="3" t="s">
        <v>14</v>
      </c>
      <c r="C1" s="3" t="s">
        <v>15</v>
      </c>
    </row>
    <row r="2" spans="1:3" x14ac:dyDescent="0.25">
      <c r="A2" s="2" t="s">
        <v>12</v>
      </c>
      <c r="B2" s="2" t="s">
        <v>19</v>
      </c>
      <c r="C2" s="2" t="s">
        <v>27</v>
      </c>
    </row>
    <row r="3" spans="1:3" x14ac:dyDescent="0.25">
      <c r="A3" s="4" t="s">
        <v>11</v>
      </c>
      <c r="B3" s="2" t="s">
        <v>1</v>
      </c>
      <c r="C3" s="2" t="s">
        <v>29</v>
      </c>
    </row>
    <row r="4" spans="1:3" x14ac:dyDescent="0.25">
      <c r="A4" s="2" t="s">
        <v>333</v>
      </c>
      <c r="B4" s="2" t="s">
        <v>33</v>
      </c>
      <c r="C4" s="2" t="s">
        <v>77</v>
      </c>
    </row>
    <row r="5" spans="1:3" x14ac:dyDescent="0.25">
      <c r="A5" s="2" t="s">
        <v>335</v>
      </c>
      <c r="B5" s="2" t="s">
        <v>0</v>
      </c>
      <c r="C5" s="2" t="s">
        <v>79</v>
      </c>
    </row>
    <row r="6" spans="1:3" x14ac:dyDescent="0.25">
      <c r="A6" s="2" t="s">
        <v>17</v>
      </c>
      <c r="B6" s="2" t="s">
        <v>31</v>
      </c>
      <c r="C6" s="2" t="s">
        <v>21</v>
      </c>
    </row>
    <row r="7" spans="1:3" x14ac:dyDescent="0.25">
      <c r="B7" s="2" t="s">
        <v>61</v>
      </c>
      <c r="C7" s="2" t="s">
        <v>17</v>
      </c>
    </row>
    <row r="8" spans="1:3" x14ac:dyDescent="0.25">
      <c r="B8" s="2" t="s">
        <v>35</v>
      </c>
    </row>
    <row r="9" spans="1:3" x14ac:dyDescent="0.25">
      <c r="B9" s="2" t="s">
        <v>2</v>
      </c>
    </row>
    <row r="10" spans="1:3" x14ac:dyDescent="0.25">
      <c r="B10" s="2" t="s">
        <v>56</v>
      </c>
    </row>
    <row r="11" spans="1:3" x14ac:dyDescent="0.25">
      <c r="B11" s="2" t="s">
        <v>23</v>
      </c>
    </row>
    <row r="12" spans="1:3" x14ac:dyDescent="0.25">
      <c r="B12" s="2" t="s">
        <v>25</v>
      </c>
    </row>
    <row r="13" spans="1:3" x14ac:dyDescent="0.25">
      <c r="B13" s="2" t="s">
        <v>17</v>
      </c>
    </row>
    <row r="14" spans="1:3" x14ac:dyDescent="0.25">
      <c r="B14" s="4" t="s">
        <v>157</v>
      </c>
    </row>
    <row r="20" ht="12" customHeight="1" x14ac:dyDescent="0.25"/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注意事项</vt:lpstr>
      <vt:lpstr>工艺类别总览</vt:lpstr>
      <vt:lpstr>步兵机器人</vt:lpstr>
      <vt:lpstr>下拉菜单选项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2021-08-22T04:01:43Z</dcterms:modified>
</cp:coreProperties>
</file>