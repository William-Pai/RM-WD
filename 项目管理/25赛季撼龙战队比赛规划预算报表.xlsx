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盖伦不仑\Desktop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<sst xmlns="http://schemas.openxmlformats.org/spreadsheetml/2006/main" count="21" uniqueCount="21">
  <si>
    <t/>
  </si>
  <si>
    <t>项目</t>
  </si>
  <si>
    <t>一、出行</t>
  </si>
  <si>
    <t>车次</t>
  </si>
  <si>
    <t>单价</t>
  </si>
  <si>
    <t>总价</t>
  </si>
  <si>
    <t>到比赛城市所乘火车</t>
  </si>
  <si>
    <t>D2310</t>
  </si>
  <si>
    <t>回深圳所乘火车</t>
  </si>
  <si>
    <t>D3111</t>
  </si>
  <si>
    <t>比赛期间其他交通工具费用</t>
  </si>
  <si>
    <t>货拉拉（运送比赛用车）</t>
  </si>
  <si>
    <t>二、饮食</t>
  </si>
  <si>
    <t>人数</t>
  </si>
  <si>
    <t>一天一人所需饮食费用</t>
  </si>
  <si>
    <t>正常饮食</t>
  </si>
  <si>
    <t>三、住宿</t>
  </si>
  <si>
    <t>酒店名称</t>
  </si>
  <si>
    <t>每日每人所需金额</t>
  </si>
  <si>
    <t>闽侯沐兰汽车酒店</t>
  </si>
  <si>
    <t>总计</t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</si>
</sst>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b val="true"/>
      <color theme="1"/>
      <sz val="14"/>
      <scheme val="minor"/>
    </font>
    <font>
      <name val="等线"/>
    </font>
    <font>
      <name val="等线"/>
      <b val="true"/>
      <sz val="16"/>
    </font>
    <font>
      <name val="等线"/>
      <color theme="1"/>
      <sz val="16"/>
    </font>
    <font>
      <name val="等线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none"/>
    </fill>
    <fill/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0" fontId="7" fillId="2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7" fillId="2" borderId="2" xfId="0" applyAlignment="true">
      <alignment horizontal="center" vertical="center"/>
    </xf>
    <xf numFmtId="300" fontId="3" fillId="2" borderId="2" xfId="0" applyFont="true" applyAlignment="true">
      <alignment horizontal="center" vertical="center"/>
    </xf>
    <xf numFmtId="0" fontId="4" fillId="2" borderId="1" xfId="0" applyNumberFormat="true" applyFont="true" applyFill="true" applyBorder="true" applyAlignment="true">
      <alignment horizontal="center" vertical="center"/>
    </xf>
    <xf numFmtId="0" fontId="7" fillId="2" borderId="1" xfId="0" applyNumberFormat="true" applyFill="true" applyBorder="true" applyAlignment="true">
      <alignment horizontal="center" vertical="center"/>
    </xf>
    <xf numFmtId="0" fontId="4" fillId="2" borderId="2" xfId="0" applyNumberFormat="true" applyFont="true" applyAlignment="true">
      <alignment horizontal="center" vertical="center"/>
    </xf>
    <xf numFmtId="0" fontId="7" fillId="2" borderId="2" xfId="0" applyNumberFormat="true" applyAlignment="true">
      <alignment horizontal="center" vertical="center"/>
    </xf>
    <xf numFmtId="0" fontId="5" fillId="3" borderId="0" xfId="0">
      <alignment horizontal="center" vertical="center"/>
    </xf>
    <xf numFmtId="0" fontId="6" fillId="3" borderId="0" xfId="0">
      <alignment horizontal="center" vertical="center"/>
    </xf>
    <xf numFmtId="300" fontId="7" fillId="2" borderId="2" xfId="0" applyNumberFormat="true" applyFill="true" applyBorder="true" applyAlignment="true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A12"/>
  <sheetViews>
    <sheetView showGridLines="true" tabSelected="false" topLeftCell="A4" zoomScale="250" zoomScaleNormal="250" workbookViewId="0"/>
  </sheetViews>
  <sheetFormatPr baseColWidth="8" defaultRowHeight="14.15"/>
  <cols>
    <col min="1" max="1" width="24.2852" style="12" bestFit="true" customWidth="true"/>
    <col min="2" max="2" width="20.8828" style="12" bestFit="true" customWidth="true"/>
    <col min="3" max="3" width="20.3555" style="12" bestFit="true" customWidth="true"/>
    <col min="4" max="26" width="9.14062" style="12"/>
  </cols>
  <sheetData>
    <row r="1" spans="1:1">
      <c r="A1" s="4" t="s">
        <v>1</v>
      </c>
    </row>
    <row r="2" spans="1:4" ht="18">
      <c r="A2" s="5" t="s">
        <v>2</v>
      </c>
      <c r="B2" s="4" t="s">
        <v>3</v>
      </c>
      <c r="C2" s="4" t="s">
        <v>4</v>
      </c>
      <c r="D2" s="4" t="s">
        <v>5</v>
      </c>
    </row>
    <row r="3" spans="1:4">
      <c r="A3" s="4" t="s">
        <v>6</v>
      </c>
      <c r="B3" s="6" t="s">
        <v>7</v>
      </c>
      <c r="C3" s="7">
        <v>296</v>
      </c>
      <c r="D3" s="7">
        <f>=C3*17</f>
        <v>5032</v>
      </c>
    </row>
    <row r="4" spans="1:4">
      <c r="A4" s="4" t="s">
        <v>8</v>
      </c>
      <c r="B4" s="6" t="s">
        <v>9</v>
      </c>
      <c r="C4" s="7">
        <v>267</v>
      </c>
      <c r="D4" s="7">
        <f>=C4*17</f>
        <v>4539</v>
      </c>
    </row>
    <row r="5" spans="1:4">
      <c r="A5" s="4" t="s">
        <v>10</v>
      </c>
      <c r="B5" s="8" t="s">
        <v>11</v>
      </c>
      <c r="C5" s="9">
        <v>50</v>
      </c>
      <c r="D5" s="8">
        <f>=C5*2*5</f>
        <v>500</v>
      </c>
    </row>
    <row r="6" spans="1:3" ht="18">
      <c r="A6" s="5" t="s">
        <v>12</v>
      </c>
      <c r="B6" s="4" t="s">
        <v>13</v>
      </c>
      <c r="C6" s="4" t="s">
        <v>14</v>
      </c>
    </row>
    <row r="7" spans="1:4">
      <c r="A7" s="4" t="s">
        <v>15</v>
      </c>
      <c r="B7" s="4">
        <v>17</v>
      </c>
      <c r="C7" s="4">
        <v>100</v>
      </c>
      <c r="D7" s="4">
        <f>=C7*5*B7</f>
        <v>8500</v>
      </c>
    </row>
    <row r="8" spans="1:3" ht="18">
      <c r="A8" s="5" t="s">
        <v>16</v>
      </c>
      <c r="B8" s="4" t="s">
        <v>17</v>
      </c>
      <c r="C8" s="4" t="s">
        <v>18</v>
      </c>
    </row>
    <row r="9" spans="2:4">
      <c r="B9" s="6" t="s">
        <v>19</v>
      </c>
      <c r="C9" s="7">
        <v>130</v>
      </c>
      <c r="D9" s="7">
        <f>=C9*17*6</f>
        <v>13260</v>
      </c>
    </row>
    <row r="10" spans="1:4" ht="18">
      <c r="A10" s="5" t="s"/>
      <c r="C10" s="10" t="s">
        <v>20</v>
      </c>
      <c r="D10" s="11">
        <f>=D3+D4+D5+D7+D9</f>
        <v>31831</v>
      </c>
    </row>
    <row r="12" spans="4:4">
      <c r="D12" s="7" t="s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2025-02-17T14:08:28Z</dcterms:created>
  <dcterms:modified xsi:type="dcterms:W3CDTF">2025-02-17T14:08:28Z</dcterms:modified>
</cp:coreProperties>
</file>